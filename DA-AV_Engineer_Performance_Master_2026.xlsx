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1"/>
  </bookViews>
  <sheets>
    <sheet sheetId="1" name="SRC Q1 2026 winners" state="visible" r:id="rId4"/>
    <sheet sheetId="2" name="SRC Q2 Engineer Eval" state="visible" r:id="rId5"/>
    <sheet sheetId="3" name="Engineers" state="visible" r:id="rId6"/>
    <sheet sheetId="4" name="Quarterly Results" state="visible" r:id="rId7"/>
    <sheet sheetId="5" name="Summary" state="visible" r:id="rId8"/>
    <sheet sheetId="6" name="ReadMe" state="visible" r:id="rId9"/>
  </sheets>
  <calcPr calcId="171027"/>
</workbook>
</file>

<file path=xl/sharedStrings.xml><?xml version="1.0" encoding="utf-8"?>
<sst xmlns="http://schemas.openxmlformats.org/spreadsheetml/2006/main" count="4779" uniqueCount="497">
  <si>
    <t>Quarter</t>
  </si>
  <si>
    <t>Country key</t>
  </si>
  <si>
    <t>ASC Code</t>
  </si>
  <si>
    <t>ASC Name</t>
  </si>
  <si>
    <t>Engineer</t>
  </si>
  <si>
    <t>SVC Type</t>
  </si>
  <si>
    <t>SBA ID</t>
  </si>
  <si>
    <t>SSR</t>
  </si>
  <si>
    <t>REDO</t>
  </si>
  <si>
    <t>Chatbot</t>
  </si>
  <si>
    <t>HASS</t>
  </si>
  <si>
    <t>Acc Core Parts (VD)</t>
  </si>
  <si>
    <t>Training Attendance</t>
  </si>
  <si>
    <t>Linkage ratio</t>
  </si>
  <si>
    <t>Final Score</t>
  </si>
  <si>
    <t>Q1</t>
  </si>
  <si>
    <t>EG</t>
  </si>
  <si>
    <t>K-ELECTRONICS MARSA</t>
  </si>
  <si>
    <t>IH</t>
  </si>
  <si>
    <t>GSPN.shady_moustafa20</t>
  </si>
  <si>
    <t>K-ELECTRONICS ELIBRA</t>
  </si>
  <si>
    <t>GSPN.emad_metry20</t>
  </si>
  <si>
    <t>TIBA FOR TRADE AND M</t>
  </si>
  <si>
    <t>GSPN.AhmedShakerTiba</t>
  </si>
  <si>
    <t>PR</t>
  </si>
  <si>
    <t>GSPN.mohamed_saleh20</t>
  </si>
  <si>
    <t>TO CONNECT SHOP/</t>
  </si>
  <si>
    <t>GSPN.M.hussein2000</t>
  </si>
  <si>
    <t>HI TECH FOR MAINTENA</t>
  </si>
  <si>
    <t>GSPN.HiAshrafZag010</t>
  </si>
  <si>
    <t>EGYPTIAN MICRO SOLUT</t>
  </si>
  <si>
    <t>GSPN.elshayeb2021</t>
  </si>
  <si>
    <t>ADEL CENTER BANI SUE</t>
  </si>
  <si>
    <t>GSPN.naderdiab2020</t>
  </si>
  <si>
    <t>No SBA ID</t>
  </si>
  <si>
    <t>No History</t>
  </si>
  <si>
    <t>ELECTRA ASSUIT/</t>
  </si>
  <si>
    <t>GSPN.mahmoudgaber2023</t>
  </si>
  <si>
    <t>GSPN.mmeneem2025</t>
  </si>
  <si>
    <t>ELECTRA GIZA/</t>
  </si>
  <si>
    <t>GSPN.WaelHassan</t>
  </si>
  <si>
    <t>U TECH FOR SERVICE &amp;</t>
  </si>
  <si>
    <t>GSPN.omar_wadye</t>
  </si>
  <si>
    <t>RAMY EL TABIE ABDO G</t>
  </si>
  <si>
    <t>GSPN.Mostafahelaly24</t>
  </si>
  <si>
    <t>NANOTEC/</t>
  </si>
  <si>
    <t>GSPN.nanotechesa1</t>
  </si>
  <si>
    <t>ATS BE - GREAT CAIRO</t>
  </si>
  <si>
    <t>GSPN.asalem</t>
  </si>
  <si>
    <t>GSPN.osamaf</t>
  </si>
  <si>
    <t>GSPN.Soltans</t>
  </si>
  <si>
    <t>GSPN.aismaiel</t>
  </si>
  <si>
    <t>GSPN.Mokhtarabdelrahim1</t>
  </si>
  <si>
    <t>RAYA GIZA (HA)/</t>
  </si>
  <si>
    <t>GSPN.HiDoharyZag011</t>
  </si>
  <si>
    <t>GSPN.KaremAV</t>
  </si>
  <si>
    <t>GSPN.HiShawkyZag</t>
  </si>
  <si>
    <t>ELECTRA/</t>
  </si>
  <si>
    <t>GSPN.AhmedEzzatZaki</t>
  </si>
  <si>
    <t>GSPN.HiRamdanZag</t>
  </si>
  <si>
    <t>ADEL MALAK TERIAK/</t>
  </si>
  <si>
    <t>GSPN.MICHAELADEL</t>
  </si>
  <si>
    <t>GSPN.gomaamohamed</t>
  </si>
  <si>
    <t>TO CONNECT - NAG HAM</t>
  </si>
  <si>
    <t>GSPN.Mohamed_Hussein_2022</t>
  </si>
  <si>
    <t>RAYA - MANSOURA/</t>
  </si>
  <si>
    <t>GSPN.mostafa_attia01</t>
  </si>
  <si>
    <t>RAYA - GHARBEYA/</t>
  </si>
  <si>
    <t>GSPN.loay_elabasy24</t>
  </si>
  <si>
    <t>GSPN.TareKMAbuAKhair</t>
  </si>
  <si>
    <t>GSPN.HamedSaad</t>
  </si>
  <si>
    <t>GSPN.mohamedmoheb15</t>
  </si>
  <si>
    <t>HI TECH TANTA/</t>
  </si>
  <si>
    <t>GSPN.Hatemagamy</t>
  </si>
  <si>
    <t>GSPN.Ahmedhamouda</t>
  </si>
  <si>
    <t>CI</t>
  </si>
  <si>
    <t>GSPN.Ahmedmatar</t>
  </si>
  <si>
    <t>GSPN.mohammedeldebeky</t>
  </si>
  <si>
    <t>GSPN.Ahmedagamy</t>
  </si>
  <si>
    <t>GSPN.Adelelbasuony</t>
  </si>
  <si>
    <t>GSPN.mahamedmagdy</t>
  </si>
  <si>
    <t>HI TECH MENOFEYA/</t>
  </si>
  <si>
    <t>GSPN.MohamedShamroukh</t>
  </si>
  <si>
    <t>GSPN.MahmoudKhamis</t>
  </si>
  <si>
    <t>GSPN.RushdiAlSakka</t>
  </si>
  <si>
    <t>TECH VALLEY MANSOURA</t>
  </si>
  <si>
    <t>GSPN.SayedShehab70</t>
  </si>
  <si>
    <t>GSPN.AhmedAhmedAbuAlmaati94</t>
  </si>
  <si>
    <t>GSPN.MustafaAwdi90</t>
  </si>
  <si>
    <t>GSPN.HassanMohamed77</t>
  </si>
  <si>
    <t>ADEL CENTER EL FAYOU</t>
  </si>
  <si>
    <t>GSPN.mohamedhassannano</t>
  </si>
  <si>
    <t>GSPN.mafify</t>
  </si>
  <si>
    <t>GSPN.mohamedmahros1</t>
  </si>
  <si>
    <t>GSPN.KaremGamal</t>
  </si>
  <si>
    <t>GSPN.ahmedbelal2025</t>
  </si>
  <si>
    <t>GSPN.islam.2ct</t>
  </si>
  <si>
    <t>EL MOHANDES SERVICE</t>
  </si>
  <si>
    <t>GSPN.MohAhmed1</t>
  </si>
  <si>
    <t>GSPN.Ahmadbhaa</t>
  </si>
  <si>
    <t>GSPN.karem_elbathe</t>
  </si>
  <si>
    <t>GSPN.HiTwabZag011</t>
  </si>
  <si>
    <t>GSPN.HiSamehZag011</t>
  </si>
  <si>
    <t>GSPN.Hiadhamzag011</t>
  </si>
  <si>
    <t>GSPN.Dinaelsayed27</t>
  </si>
  <si>
    <t>GSPN.Mesha115</t>
  </si>
  <si>
    <t>GSPN.KABDELMSEH2000</t>
  </si>
  <si>
    <t>GSPN.ahmedrdwan</t>
  </si>
  <si>
    <t>AHMED EL SAYED ABDO</t>
  </si>
  <si>
    <t>GSPN.ahmedelaraby</t>
  </si>
  <si>
    <t>GSPN.HaniyHassan</t>
  </si>
  <si>
    <t>U TECH SUEZ/BUILDING</t>
  </si>
  <si>
    <t>GSPN.samir1saeed</t>
  </si>
  <si>
    <t>GSPN.TaherFarghaly1</t>
  </si>
  <si>
    <t>GSPN.KhalidMohammed</t>
  </si>
  <si>
    <t>GSPN.mohamed_gamal20</t>
  </si>
  <si>
    <t>GSPN.waleedesmaiel</t>
  </si>
  <si>
    <t>GSPN.m_shaaban</t>
  </si>
  <si>
    <t>GSPN.MMsalim</t>
  </si>
  <si>
    <t>GSPN.mohamed_salah24</t>
  </si>
  <si>
    <t>GSPN.TareKAbuAKhair</t>
  </si>
  <si>
    <t>GSPN.Hosnimohamed77</t>
  </si>
  <si>
    <t>RAYA CAIRO/</t>
  </si>
  <si>
    <t>GSPN.mahmoudzaher</t>
  </si>
  <si>
    <t>GSPN.sfoaad</t>
  </si>
  <si>
    <t>GSPN.Mohamedsalah5</t>
  </si>
  <si>
    <t>GSPN.mahmoudebraheem</t>
  </si>
  <si>
    <t>JAPANESE CENTER FOR</t>
  </si>
  <si>
    <t>K-ELECTRONICS KAFR E</t>
  </si>
  <si>
    <t>GSPN.mohamed_raslan20</t>
  </si>
  <si>
    <t>GSPN.HamedAhmed</t>
  </si>
  <si>
    <t>GSPN.mohamed_metwely01</t>
  </si>
  <si>
    <t>GSPN.mohamed_fawzy20</t>
  </si>
  <si>
    <t>GSPN.ahasan</t>
  </si>
  <si>
    <t>GSPN.islam_emad01</t>
  </si>
  <si>
    <t>EL MOHANDES - HURGHA</t>
  </si>
  <si>
    <t>GSPN.Mohameduasef</t>
  </si>
  <si>
    <t>GSPN.ahmed_hassan01</t>
  </si>
  <si>
    <t>GSPN.khaled_yehia01</t>
  </si>
  <si>
    <t>GSPN.Mohamed_farouk01</t>
  </si>
  <si>
    <t>GSPN.saidabdelraman</t>
  </si>
  <si>
    <t>GSPN.RabahSalah2024</t>
  </si>
  <si>
    <t>SUB</t>
  </si>
  <si>
    <t>W/B Partner</t>
  </si>
  <si>
    <t>Target For Evaluation Yes No</t>
  </si>
  <si>
    <t xml:space="preserve"> </t>
  </si>
  <si>
    <t>Status</t>
  </si>
  <si>
    <t>Dedicated/Non Dedicated</t>
  </si>
  <si>
    <t>SBA ID Status</t>
  </si>
  <si>
    <t>Major/Minor</t>
  </si>
  <si>
    <t>Eng Code Status</t>
  </si>
  <si>
    <t>Product Group</t>
  </si>
  <si>
    <t>Acc Wrty Volume</t>
  </si>
  <si>
    <t>Rep or Install Eng</t>
  </si>
  <si>
    <t>Redo</t>
  </si>
  <si>
    <t>Training Att</t>
  </si>
  <si>
    <t>RNPS</t>
  </si>
  <si>
    <t>S.T con</t>
  </si>
  <si>
    <t>MJ %</t>
  </si>
  <si>
    <t>Comp. Repair</t>
  </si>
  <si>
    <t>Hass</t>
  </si>
  <si>
    <t>Kahoot</t>
  </si>
  <si>
    <t>Total</t>
  </si>
  <si>
    <t>Repair Volume</t>
  </si>
  <si>
    <t>Q2 Final Result</t>
  </si>
  <si>
    <t>SEEG</t>
  </si>
  <si>
    <t>Target</t>
  </si>
  <si>
    <t>MSC</t>
  </si>
  <si>
    <t>Excluded Q4 &amp; Q1</t>
  </si>
  <si>
    <t>Dedicated</t>
  </si>
  <si>
    <t>Active</t>
  </si>
  <si>
    <t>Below 20</t>
  </si>
  <si>
    <t>W</t>
  </si>
  <si>
    <t>AV</t>
  </si>
  <si>
    <t>Repair</t>
  </si>
  <si>
    <t>AV + HA</t>
  </si>
  <si>
    <t>HA</t>
  </si>
  <si>
    <t>Included</t>
  </si>
  <si>
    <t>active</t>
  </si>
  <si>
    <t>Above 20</t>
  </si>
  <si>
    <t>Not Found</t>
  </si>
  <si>
    <t>Installation</t>
  </si>
  <si>
    <t>InActive</t>
  </si>
  <si>
    <t>Above 30</t>
  </si>
  <si>
    <t>ASC</t>
  </si>
  <si>
    <t>Non Dedicated</t>
  </si>
  <si>
    <t>I</t>
  </si>
  <si>
    <t>Excluded Tremiantion</t>
  </si>
  <si>
    <t>Engineer Code</t>
  </si>
  <si>
    <t>Engineer Name</t>
  </si>
  <si>
    <t>Partner</t>
  </si>
  <si>
    <t>Service Type</t>
  </si>
  <si>
    <t>Dedicated / Non Dedicated</t>
  </si>
  <si>
    <t>Major / Minor</t>
  </si>
  <si>
    <t>Evaluation Target (Yes/No)</t>
  </si>
  <si>
    <t>Product</t>
  </si>
  <si>
    <t>7086001106</t>
  </si>
  <si>
    <t>Loay Elabasy</t>
  </si>
  <si>
    <t>3489862</t>
  </si>
  <si>
    <t>7886000279</t>
  </si>
  <si>
    <t>Mohamed said</t>
  </si>
  <si>
    <t>8351903</t>
  </si>
  <si>
    <t>DA</t>
  </si>
  <si>
    <t>7886000378</t>
  </si>
  <si>
    <t>Mohamed Abdelrahman</t>
  </si>
  <si>
    <t>9372701</t>
  </si>
  <si>
    <t>7886000439</t>
  </si>
  <si>
    <t>Mohamed Salah</t>
  </si>
  <si>
    <t>7886000482</t>
  </si>
  <si>
    <t>7886000561</t>
  </si>
  <si>
    <t>islam.2ct</t>
  </si>
  <si>
    <t>8396105</t>
  </si>
  <si>
    <t>7886000617</t>
  </si>
  <si>
    <t>9203505</t>
  </si>
  <si>
    <t>7886000632</t>
  </si>
  <si>
    <t>Mohamed Ahmed</t>
  </si>
  <si>
    <t>8398383</t>
  </si>
  <si>
    <t>7886000657</t>
  </si>
  <si>
    <t>KABDELMSEH2000</t>
  </si>
  <si>
    <t>7886000680</t>
  </si>
  <si>
    <t>MICHAEL ADEL MALAK</t>
  </si>
  <si>
    <t>9203507</t>
  </si>
  <si>
    <t>AV+DA</t>
  </si>
  <si>
    <t>7886000751</t>
  </si>
  <si>
    <t>Mohamed Hassan</t>
  </si>
  <si>
    <t>7886000919</t>
  </si>
  <si>
    <t>Mohamed Hussein</t>
  </si>
  <si>
    <t>7886000930</t>
  </si>
  <si>
    <t>Ahmed Hasan</t>
  </si>
  <si>
    <t>7886001034</t>
  </si>
  <si>
    <t>ashraf abdrbo</t>
  </si>
  <si>
    <t>9203499</t>
  </si>
  <si>
    <t>7886001053</t>
  </si>
  <si>
    <t>7886001055</t>
  </si>
  <si>
    <t>Ahmed Ramdan</t>
  </si>
  <si>
    <t>7886001214</t>
  </si>
  <si>
    <t>7886001393</t>
  </si>
  <si>
    <t>MAHMOUD ZAHER</t>
  </si>
  <si>
    <t>8215895</t>
  </si>
  <si>
    <t>7886001399</t>
  </si>
  <si>
    <t>HiTwabZag</t>
  </si>
  <si>
    <t>7886001633</t>
  </si>
  <si>
    <t>MMsalim</t>
  </si>
  <si>
    <t>2226596</t>
  </si>
  <si>
    <t>7886001745</t>
  </si>
  <si>
    <t>Ali Ismaiel Ali saied</t>
  </si>
  <si>
    <t>7886001746</t>
  </si>
  <si>
    <t>Mohamed Afify</t>
  </si>
  <si>
    <t>7886001747</t>
  </si>
  <si>
    <t>Salah Foaad</t>
  </si>
  <si>
    <t>7886001750</t>
  </si>
  <si>
    <t>Hamed Ahmed</t>
  </si>
  <si>
    <t>1390788</t>
  </si>
  <si>
    <t>7886002009</t>
  </si>
  <si>
    <t>Mokhtar Abdelrahim</t>
  </si>
  <si>
    <t>7886002061</t>
  </si>
  <si>
    <t>nader diab nashed</t>
  </si>
  <si>
    <t>2490932</t>
  </si>
  <si>
    <t>7886002084</t>
  </si>
  <si>
    <t>Mohamed Mahros</t>
  </si>
  <si>
    <t>7886002099</t>
  </si>
  <si>
    <t>Karem Saied</t>
  </si>
  <si>
    <t>7886002136</t>
  </si>
  <si>
    <t>Ahmed Salem</t>
  </si>
  <si>
    <t>7886002144</t>
  </si>
  <si>
    <t>Shady ElShayeb</t>
  </si>
  <si>
    <t>9390474</t>
  </si>
  <si>
    <t>7886002215</t>
  </si>
  <si>
    <t>Karem Gamal</t>
  </si>
  <si>
    <t>7886002230</t>
  </si>
  <si>
    <t>said.abdelraman1</t>
  </si>
  <si>
    <t>7886002234</t>
  </si>
  <si>
    <t>Khalid Mohammed</t>
  </si>
  <si>
    <t>4162738</t>
  </si>
  <si>
    <t>7886002272</t>
  </si>
  <si>
    <t>Mohamed Shabban</t>
  </si>
  <si>
    <t>7886002273</t>
  </si>
  <si>
    <t>Ahmadbhaa</t>
  </si>
  <si>
    <t>9203497</t>
  </si>
  <si>
    <t>7886002310</t>
  </si>
  <si>
    <t>samir1saeed</t>
  </si>
  <si>
    <t>2451952</t>
  </si>
  <si>
    <t>7886002360</t>
  </si>
  <si>
    <t>Osama Farouk</t>
  </si>
  <si>
    <t>7886002371</t>
  </si>
  <si>
    <t>islam.emad01</t>
  </si>
  <si>
    <t>7886002380</t>
  </si>
  <si>
    <t>Mohamed.farouk01</t>
  </si>
  <si>
    <t>7886002383</t>
  </si>
  <si>
    <t>Ahmed Hassan</t>
  </si>
  <si>
    <t>2278119</t>
  </si>
  <si>
    <t>7886002384</t>
  </si>
  <si>
    <t>Khaled Yehia</t>
  </si>
  <si>
    <t>7886002385</t>
  </si>
  <si>
    <t>mohamed.metwely01</t>
  </si>
  <si>
    <t>7886002386</t>
  </si>
  <si>
    <t>Mostafa Attia</t>
  </si>
  <si>
    <t>7886002401</t>
  </si>
  <si>
    <t>Mohamed Hussein 2022</t>
  </si>
  <si>
    <t>7886002410</t>
  </si>
  <si>
    <t>Soltan Salaheldin</t>
  </si>
  <si>
    <t>7886002429</t>
  </si>
  <si>
    <t>Mohamed Eldory</t>
  </si>
  <si>
    <t>7886002432</t>
  </si>
  <si>
    <t>Shawky Zag</t>
  </si>
  <si>
    <t>7886002436</t>
  </si>
  <si>
    <t>Ahmed Elaraby</t>
  </si>
  <si>
    <t>5189455</t>
  </si>
  <si>
    <t>7886002439</t>
  </si>
  <si>
    <t>karem Elbathe</t>
  </si>
  <si>
    <t>7886002452</t>
  </si>
  <si>
    <t>7886002470</t>
  </si>
  <si>
    <t>omar wadye</t>
  </si>
  <si>
    <t>7886002481</t>
  </si>
  <si>
    <t>RABAH SALAH</t>
  </si>
  <si>
    <t>7886002484</t>
  </si>
  <si>
    <t>TaherFarghaly1</t>
  </si>
  <si>
    <t>5797728</t>
  </si>
  <si>
    <t>7886002485</t>
  </si>
  <si>
    <t>Haniy Hassan</t>
  </si>
  <si>
    <t>7886002486</t>
  </si>
  <si>
    <t>TareK Abu AlKhair</t>
  </si>
  <si>
    <t>7886002489</t>
  </si>
  <si>
    <t>MohamedShamroukh</t>
  </si>
  <si>
    <t>7886002491</t>
  </si>
  <si>
    <t>Wael Hassan</t>
  </si>
  <si>
    <t>7886002493</t>
  </si>
  <si>
    <t>Mahmoud Khamis</t>
  </si>
  <si>
    <t>7886002500</t>
  </si>
  <si>
    <t>Sayed Shehab</t>
  </si>
  <si>
    <t>5797729</t>
  </si>
  <si>
    <t>7886002501</t>
  </si>
  <si>
    <t>Ahmed Ahmed AbuAlmaati</t>
  </si>
  <si>
    <t>7886002502</t>
  </si>
  <si>
    <t>Mustafa Awdi</t>
  </si>
  <si>
    <t>7886002503</t>
  </si>
  <si>
    <t>HassanMohamed77</t>
  </si>
  <si>
    <t>7886002504</t>
  </si>
  <si>
    <t>Hosnimohamed77</t>
  </si>
  <si>
    <t>7886002507</t>
  </si>
  <si>
    <t>Mohamed uasef</t>
  </si>
  <si>
    <t>2227239</t>
  </si>
  <si>
    <t>7886002521</t>
  </si>
  <si>
    <t>Mohamed Raslan</t>
  </si>
  <si>
    <t>4969681</t>
  </si>
  <si>
    <t>7886002522</t>
  </si>
  <si>
    <t>Shady Moustafa</t>
  </si>
  <si>
    <t>4969684</t>
  </si>
  <si>
    <t>7886002529</t>
  </si>
  <si>
    <t>Ahmed Shaker</t>
  </si>
  <si>
    <t>5933773</t>
  </si>
  <si>
    <t>7886002530</t>
  </si>
  <si>
    <t>Mohamed Fawzy</t>
  </si>
  <si>
    <t>7886002532</t>
  </si>
  <si>
    <t>Emad Metry</t>
  </si>
  <si>
    <t>4969685</t>
  </si>
  <si>
    <t>7886002535</t>
  </si>
  <si>
    <t>Mohamed Saleh</t>
  </si>
  <si>
    <t>7886002538</t>
  </si>
  <si>
    <t>Hatem Agamy</t>
  </si>
  <si>
    <t>5797725</t>
  </si>
  <si>
    <t>7886002539</t>
  </si>
  <si>
    <t>Ahmed Hamouda</t>
  </si>
  <si>
    <t>7886002540</t>
  </si>
  <si>
    <t>Ahmed Matar</t>
  </si>
  <si>
    <t>7886002542</t>
  </si>
  <si>
    <t>7886002543</t>
  </si>
  <si>
    <t>mohammedeldebeky</t>
  </si>
  <si>
    <t>7886002544</t>
  </si>
  <si>
    <t>Ahmed Agamy</t>
  </si>
  <si>
    <t>7886002545</t>
  </si>
  <si>
    <t>Adel Elbasuony</t>
  </si>
  <si>
    <t>7886002546</t>
  </si>
  <si>
    <t>5797727</t>
  </si>
  <si>
    <t>7886002547</t>
  </si>
  <si>
    <t>7886002548</t>
  </si>
  <si>
    <t>7886002564</t>
  </si>
  <si>
    <t>Dinaelsayed</t>
  </si>
  <si>
    <t>9203501</t>
  </si>
  <si>
    <t>7886002565</t>
  </si>
  <si>
    <t>Mostafa Helaly</t>
  </si>
  <si>
    <t>7886002616</t>
  </si>
  <si>
    <t>5997121</t>
  </si>
  <si>
    <t>7886002641</t>
  </si>
  <si>
    <t>Sameh Soliman</t>
  </si>
  <si>
    <t>7886002642</t>
  </si>
  <si>
    <t>7886002643</t>
  </si>
  <si>
    <t>MahamedMagdy</t>
  </si>
  <si>
    <t>7886002657</t>
  </si>
  <si>
    <t>7886002658</t>
  </si>
  <si>
    <t>7886002660</t>
  </si>
  <si>
    <t>7886002661</t>
  </si>
  <si>
    <t>7886002666</t>
  </si>
  <si>
    <t>mahmoudebraheem</t>
  </si>
  <si>
    <t>7886002667</t>
  </si>
  <si>
    <t>9203500</t>
  </si>
  <si>
    <t>7886002670</t>
  </si>
  <si>
    <t>7886002672</t>
  </si>
  <si>
    <t>ahmedrdwan</t>
  </si>
  <si>
    <t>7886002673</t>
  </si>
  <si>
    <t>mahmoudgaber</t>
  </si>
  <si>
    <t>4970875</t>
  </si>
  <si>
    <t>7886002675</t>
  </si>
  <si>
    <t>Mohamed Moheb</t>
  </si>
  <si>
    <t>7886002677</t>
  </si>
  <si>
    <t>waleedesmaiel</t>
  </si>
  <si>
    <t>7886002681</t>
  </si>
  <si>
    <t>7886002682</t>
  </si>
  <si>
    <t>7886002683</t>
  </si>
  <si>
    <t>Gomaa Mohamed</t>
  </si>
  <si>
    <t>7886002721</t>
  </si>
  <si>
    <t>Rushdi AlSakka</t>
  </si>
  <si>
    <t>7886002743</t>
  </si>
  <si>
    <t>Ahmed Ezzat Zaki</t>
  </si>
  <si>
    <t>7886002754</t>
  </si>
  <si>
    <t>7886002762</t>
  </si>
  <si>
    <t>Ahmed Belal</t>
  </si>
  <si>
    <t>7886002764</t>
  </si>
  <si>
    <t>7886002765</t>
  </si>
  <si>
    <t>7886002772</t>
  </si>
  <si>
    <t>Mohamed Gamal</t>
  </si>
  <si>
    <t>7886002787</t>
  </si>
  <si>
    <t>7886002788</t>
  </si>
  <si>
    <t>7886002792</t>
  </si>
  <si>
    <t>TareKMAbuAKhair</t>
  </si>
  <si>
    <t>7886002794</t>
  </si>
  <si>
    <t>HamedSaad</t>
  </si>
  <si>
    <t>7886002795</t>
  </si>
  <si>
    <t>Adham zag</t>
  </si>
  <si>
    <t>7886002800</t>
  </si>
  <si>
    <t>7886002801</t>
  </si>
  <si>
    <t>7886002812</t>
  </si>
  <si>
    <t>7886002842</t>
  </si>
  <si>
    <t>7886002844</t>
  </si>
  <si>
    <t>Mohamed Abdelmoneem</t>
  </si>
  <si>
    <t>Q1 Final Score</t>
  </si>
  <si>
    <t>Q1 SSR</t>
  </si>
  <si>
    <t>Q1 REDO</t>
  </si>
  <si>
    <t>Q1 Chatbot</t>
  </si>
  <si>
    <t>Q1 HASS</t>
  </si>
  <si>
    <t>Q1 Acc Core Parts</t>
  </si>
  <si>
    <t>Q1 Training Attendance</t>
  </si>
  <si>
    <t>Q1 Linkage Ratio</t>
  </si>
  <si>
    <t>Q2 Final Score</t>
  </si>
  <si>
    <t>Q2 RNPS</t>
  </si>
  <si>
    <t>Q2 REDO</t>
  </si>
  <si>
    <t>Q2 Training Attendance</t>
  </si>
  <si>
    <t>Q2 ST Con</t>
  </si>
  <si>
    <t>Q2 MJ %</t>
  </si>
  <si>
    <t>Q2 Complete Repair</t>
  </si>
  <si>
    <t>Q2 Kahoot</t>
  </si>
  <si>
    <t>Q2 HASS</t>
  </si>
  <si>
    <t>Q2 Repair Volume</t>
  </si>
  <si>
    <t>Q3 Final Score</t>
  </si>
  <si>
    <t>Q3 KPI 1</t>
  </si>
  <si>
    <t>Q3 KPI 2</t>
  </si>
  <si>
    <t>Q3 KPI 3</t>
  </si>
  <si>
    <t>Q3 KPI 4</t>
  </si>
  <si>
    <t>Q3 KPI 5</t>
  </si>
  <si>
    <t>Q3 KPI 6</t>
  </si>
  <si>
    <t>Q3 KPI 7</t>
  </si>
  <si>
    <t>Q3 KPI 8</t>
  </si>
  <si>
    <t>Q3 KPI 9</t>
  </si>
  <si>
    <t>Q4 Final Score</t>
  </si>
  <si>
    <t>Q4 KPI 1</t>
  </si>
  <si>
    <t>Q4 KPI 2</t>
  </si>
  <si>
    <t>Q4 KPI 3</t>
  </si>
  <si>
    <t>Q4 KPI 4</t>
  </si>
  <si>
    <t>Q4 KPI 5</t>
  </si>
  <si>
    <t>Q4 KPI 6</t>
  </si>
  <si>
    <t>Q4 KPI 7</t>
  </si>
  <si>
    <t>Q4 KPI 8</t>
  </si>
  <si>
    <t>Q4 KPI 9</t>
  </si>
  <si>
    <t>Annual Average</t>
  </si>
  <si>
    <t>Best Quarter</t>
  </si>
  <si>
    <t>Worst Quarter</t>
  </si>
  <si>
    <t>Quarter Improvement</t>
  </si>
  <si>
    <t>Annual Rank</t>
  </si>
  <si>
    <t>DA-AV Engineer Performance Master 2026</t>
  </si>
  <si>
    <t/>
  </si>
  <si>
    <t>Primary key</t>
  </si>
  <si>
    <t>Engineer Code (numeric SBA engineer id)</t>
  </si>
  <si>
    <t>Source preserved</t>
  </si>
  <si>
    <t>SRC Q1 2026 winners / SRC Q2 Engineer Eval (untouched copies)</t>
  </si>
  <si>
    <t>App sheets</t>
  </si>
  <si>
    <t>Engineers · Quarterly Results · Summary</t>
  </si>
  <si>
    <t>Q1 KPIs</t>
  </si>
  <si>
    <t>Q1 Final Score | Q1 SSR | Q1 REDO | Q1 Chatbot | Q1 HASS | Q1 Acc Core Parts | Q1 Training Attendance | Q1 Linkage Ratio</t>
  </si>
  <si>
    <t>Q2 KPIs</t>
  </si>
  <si>
    <t>Q2 Final Score | Q2 RNPS | Q2 REDO | Q2 Training Attendance | Q2 ST Con | Q2 MJ % | Q2 Complete Repair | Q2 Kahoot | Q2 HASS | Q2 Repair Volume</t>
  </si>
  <si>
    <t>Future</t>
  </si>
  <si>
    <t>Fill Q3 / Q4 Final Score + KPI columns — no structural redesign needed</t>
  </si>
  <si>
    <t>HA → DA, AV → AV, AV + HA → AV+DA (Product column on Engineers)</t>
  </si>
  <si>
    <t>Scores</t>
  </si>
  <si>
    <t>Existing finals may exceed 100 due to bonuses; validation allows 0–200</t>
  </si>
  <si>
    <t>Generated</t>
  </si>
  <si>
    <t>2026-07-30T04:03:16.473Z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</si>
</sst>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000000"/>
      <sz val="11"/>
    </font>
    <font>
      <b/>
      <color rgb="1F4E79"/>
      <sz val="14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2F2F2"/>
      </patternFill>
    </fill>
    <fill>
      <patternFill patternType="solid">
        <fgColor rgb="FFF2CC"/>
      </patternFill>
    </fill>
  </fills>
  <borders count="2">
    <border>
      <left/>
      <right/>
      <top/>
      <bottom/>
      <diagonal/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45">
    <dxf>
      <fill>
        <patternFill patternType="solid">
          <bgColor rgb="63BE7B"/>
        </patternFill>
      </fill>
    </dxf>
    <dxf>
      <fill>
        <patternFill patternType="solid">
          <bgColor rgb="C6EFCE"/>
        </patternFill>
      </fill>
    </dxf>
    <dxf>
      <fill>
        <patternFill patternType="solid">
          <bgColor rgb="FFEB9C"/>
        </patternFill>
      </fill>
    </dxf>
    <dxf>
      <fill>
        <patternFill patternType="solid">
          <bgColor rgb="FCE4D6"/>
        </patternFill>
      </fill>
    </dxf>
    <dxf>
      <fill>
        <patternFill patternType="solid">
          <bgColor rgb="FF6B6B"/>
        </patternFill>
      </fill>
    </dxf>
    <dxf>
      <fill>
        <patternFill patternType="solid">
          <bgColor rgb="63BE7B"/>
        </patternFill>
      </fill>
    </dxf>
    <dxf>
      <fill>
        <patternFill patternType="solid">
          <bgColor rgb="C6EFCE"/>
        </patternFill>
      </fill>
    </dxf>
    <dxf>
      <fill>
        <patternFill patternType="solid">
          <bgColor rgb="FFEB9C"/>
        </patternFill>
      </fill>
    </dxf>
    <dxf>
      <fill>
        <patternFill patternType="solid">
          <bgColor rgb="FCE4D6"/>
        </patternFill>
      </fill>
    </dxf>
    <dxf>
      <fill>
        <patternFill patternType="solid">
          <bgColor rgb="FF6B6B"/>
        </patternFill>
      </fill>
    </dxf>
    <dxf>
      <fill>
        <patternFill patternType="solid">
          <bgColor rgb="63BE7B"/>
        </patternFill>
      </fill>
    </dxf>
    <dxf>
      <fill>
        <patternFill patternType="solid">
          <bgColor rgb="C6EFCE"/>
        </patternFill>
      </fill>
    </dxf>
    <dxf>
      <fill>
        <patternFill patternType="solid">
          <bgColor rgb="FFEB9C"/>
        </patternFill>
      </fill>
    </dxf>
    <dxf>
      <fill>
        <patternFill patternType="solid">
          <bgColor rgb="FCE4D6"/>
        </patternFill>
      </fill>
    </dxf>
    <dxf>
      <fill>
        <patternFill patternType="solid">
          <bgColor rgb="FF6B6B"/>
        </patternFill>
      </fill>
    </dxf>
    <dxf>
      <fill>
        <patternFill patternType="solid">
          <bgColor rgb="63BE7B"/>
        </patternFill>
      </fill>
    </dxf>
    <dxf>
      <fill>
        <patternFill patternType="solid">
          <bgColor rgb="C6EFCE"/>
        </patternFill>
      </fill>
    </dxf>
    <dxf>
      <fill>
        <patternFill patternType="solid">
          <bgColor rgb="FFEB9C"/>
        </patternFill>
      </fill>
    </dxf>
    <dxf>
      <fill>
        <patternFill patternType="solid">
          <bgColor rgb="FCE4D6"/>
        </patternFill>
      </fill>
    </dxf>
    <dxf>
      <fill>
        <patternFill patternType="solid">
          <bgColor rgb="FF6B6B"/>
        </patternFill>
      </fill>
    </dxf>
    <dxf>
      <fill>
        <patternFill patternType="solid">
          <bgColor rgb="63BE7B"/>
        </patternFill>
      </fill>
    </dxf>
    <dxf>
      <fill>
        <patternFill patternType="solid">
          <bgColor rgb="C6EFCE"/>
        </patternFill>
      </fill>
    </dxf>
    <dxf>
      <fill>
        <patternFill patternType="solid">
          <bgColor rgb="FFEB9C"/>
        </patternFill>
      </fill>
    </dxf>
    <dxf>
      <fill>
        <patternFill patternType="solid">
          <bgColor rgb="FCE4D6"/>
        </patternFill>
      </fill>
    </dxf>
    <dxf>
      <fill>
        <patternFill patternType="solid">
          <bgColor rgb="FF6B6B"/>
        </patternFill>
      </fill>
    </dxf>
    <dxf>
      <fill>
        <patternFill patternType="solid">
          <bgColor rgb="63BE7B"/>
        </patternFill>
      </fill>
    </dxf>
    <dxf>
      <fill>
        <patternFill patternType="solid">
          <bgColor rgb="C6EFCE"/>
        </patternFill>
      </fill>
    </dxf>
    <dxf>
      <fill>
        <patternFill patternType="solid">
          <bgColor rgb="FFEB9C"/>
        </patternFill>
      </fill>
    </dxf>
    <dxf>
      <fill>
        <patternFill patternType="solid">
          <bgColor rgb="FCE4D6"/>
        </patternFill>
      </fill>
    </dxf>
    <dxf>
      <fill>
        <patternFill patternType="solid">
          <bgColor rgb="FF6B6B"/>
        </patternFill>
      </fill>
    </dxf>
    <dxf>
      <fill>
        <patternFill patternType="solid">
          <bgColor rgb="63BE7B"/>
        </patternFill>
      </fill>
    </dxf>
    <dxf>
      <fill>
        <patternFill patternType="solid">
          <bgColor rgb="C6EFCE"/>
        </patternFill>
      </fill>
    </dxf>
    <dxf>
      <fill>
        <patternFill patternType="solid">
          <bgColor rgb="FFEB9C"/>
        </patternFill>
      </fill>
    </dxf>
    <dxf>
      <fill>
        <patternFill patternType="solid">
          <bgColor rgb="FCE4D6"/>
        </patternFill>
      </fill>
    </dxf>
    <dxf>
      <fill>
        <patternFill patternType="solid">
          <bgColor rgb="FF6B6B"/>
        </patternFill>
      </fill>
    </dxf>
    <dxf>
      <fill>
        <patternFill patternType="solid">
          <bgColor rgb="63BE7B"/>
        </patternFill>
      </fill>
    </dxf>
    <dxf>
      <fill>
        <patternFill patternType="solid">
          <bgColor rgb="C6EFCE"/>
        </patternFill>
      </fill>
    </dxf>
    <dxf>
      <fill>
        <patternFill patternType="solid">
          <bgColor rgb="FFEB9C"/>
        </patternFill>
      </fill>
    </dxf>
    <dxf>
      <fill>
        <patternFill patternType="solid">
          <bgColor rgb="FCE4D6"/>
        </patternFill>
      </fill>
    </dxf>
    <dxf>
      <fill>
        <patternFill patternType="solid">
          <bgColor rgb="FF6B6B"/>
        </patternFill>
      </fill>
    </dxf>
    <dxf>
      <fill>
        <patternFill patternType="solid">
          <bgColor rgb="63BE7B"/>
        </patternFill>
      </fill>
    </dxf>
    <dxf>
      <fill>
        <patternFill patternType="solid">
          <bgColor rgb="C6EFCE"/>
        </patternFill>
      </fill>
    </dxf>
    <dxf>
      <fill>
        <patternFill patternType="solid">
          <bgColor rgb="FFEB9C"/>
        </patternFill>
      </fill>
    </dxf>
    <dxf>
      <fill>
        <patternFill patternType="solid">
          <bgColor rgb="FCE4D6"/>
        </patternFill>
      </fill>
    </dxf>
    <dxf>
      <fill>
        <patternFill patternType="solid">
          <bgColor rgb="FF6B6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blEngineers" displayName="tblEngineers" ref="A1:L118" totalsRowShown="1" headerRowCount="1">
  <autoFilter ref="A1:L11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Engineer Code" totalsRowLabel="Total"/>
    <tableColumn id="2" name="Engineer Name" totalsRowFunction="none"/>
    <tableColumn id="3" name="ASC Name" totalsRowFunction="none"/>
    <tableColumn id="4" name="Partner" totalsRowFunction="none"/>
    <tableColumn id="5" name="Service Type" totalsRowFunction="none"/>
    <tableColumn id="6" name="Status" totalsRowFunction="none"/>
    <tableColumn id="7" name="Product Group" totalsRowFunction="none"/>
    <tableColumn id="8" name="Dedicated / Non Dedicated" totalsRowFunction="none"/>
    <tableColumn id="9" name="Major / Minor" totalsRowFunction="none"/>
    <tableColumn id="10" name="Evaluation Target (Yes/No)" totalsRowFunction="none"/>
    <tableColumn id="11" name="SBA ID" totalsRowFunction="none"/>
    <tableColumn id="12" name="Product" totalsRowFunction="no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blQuarterlyResults" displayName="tblQuarterlyResults" ref="A1:AQ118" totalsRowShown="1" headerRowCount="1">
  <autoFilter ref="A1:AQ11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  <filterColumn colId="25" hiddenButton="0"/>
    <filterColumn colId="26" hiddenButton="0"/>
    <filterColumn colId="27" hiddenButton="0"/>
    <filterColumn colId="28" hiddenButton="0"/>
    <filterColumn colId="29" hiddenButton="0"/>
    <filterColumn colId="30" hiddenButton="0"/>
    <filterColumn colId="31" hiddenButton="0"/>
    <filterColumn colId="32" hiddenButton="0"/>
    <filterColumn colId="33" hiddenButton="0"/>
    <filterColumn colId="34" hiddenButton="0"/>
    <filterColumn colId="35" hiddenButton="0"/>
    <filterColumn colId="36" hiddenButton="0"/>
    <filterColumn colId="37" hiddenButton="0"/>
    <filterColumn colId="38" hiddenButton="0"/>
    <filterColumn colId="39" hiddenButton="0"/>
    <filterColumn colId="40" hiddenButton="0"/>
    <filterColumn colId="41" hiddenButton="0"/>
    <filterColumn colId="42" hiddenButton="0"/>
  </autoFilter>
  <tableColumns count="43">
    <tableColumn id="1" name="Engineer Code" totalsRowLabel="Total"/>
    <tableColumn id="2" name="Engineer Name" totalsRowFunction="none"/>
    <tableColumn id="3" name="Partner" totalsRowFunction="none"/>
    <tableColumn id="4" name="ASC Name" totalsRowFunction="none"/>
    <tableColumn id="5" name="Service Type" totalsRowFunction="none"/>
    <tableColumn id="6" name="Q1 Final Score" totalsRowFunction="none"/>
    <tableColumn id="7" name="Q1 SSR" totalsRowFunction="none"/>
    <tableColumn id="8" name="Q1 REDO" totalsRowFunction="none"/>
    <tableColumn id="9" name="Q1 Chatbot" totalsRowFunction="none"/>
    <tableColumn id="10" name="Q1 HASS" totalsRowFunction="none"/>
    <tableColumn id="11" name="Q1 Acc Core Parts" totalsRowFunction="none"/>
    <tableColumn id="12" name="Q1 Training Attendance" totalsRowFunction="none"/>
    <tableColumn id="13" name="Q1 Linkage Ratio" totalsRowFunction="none"/>
    <tableColumn id="14" name="Q2 Final Score" totalsRowFunction="none"/>
    <tableColumn id="15" name="Q2 RNPS" totalsRowFunction="none"/>
    <tableColumn id="16" name="Q2 REDO" totalsRowFunction="none"/>
    <tableColumn id="17" name="Q2 Training Attendance" totalsRowFunction="none"/>
    <tableColumn id="18" name="Q2 ST Con" totalsRowFunction="none"/>
    <tableColumn id="19" name="Q2 MJ %" totalsRowFunction="none"/>
    <tableColumn id="20" name="Q2 Complete Repair" totalsRowFunction="none"/>
    <tableColumn id="21" name="Q2 Kahoot" totalsRowFunction="none"/>
    <tableColumn id="22" name="Q2 HASS" totalsRowFunction="none"/>
    <tableColumn id="23" name="Q2 Repair Volume" totalsRowFunction="none"/>
    <tableColumn id="24" name="Q3 Final Score" totalsRowFunction="none"/>
    <tableColumn id="25" name="Q3 KPI 1" totalsRowFunction="none"/>
    <tableColumn id="26" name="Q3 KPI 2" totalsRowFunction="none"/>
    <tableColumn id="27" name="Q3 KPI 3" totalsRowFunction="none"/>
    <tableColumn id="28" name="Q3 KPI 4" totalsRowFunction="none"/>
    <tableColumn id="29" name="Q3 KPI 5" totalsRowFunction="none"/>
    <tableColumn id="30" name="Q3 KPI 6" totalsRowFunction="none"/>
    <tableColumn id="31" name="Q3 KPI 7" totalsRowFunction="none"/>
    <tableColumn id="32" name="Q3 KPI 8" totalsRowFunction="none"/>
    <tableColumn id="33" name="Q3 KPI 9" totalsRowFunction="none"/>
    <tableColumn id="34" name="Q4 Final Score" totalsRowFunction="none"/>
    <tableColumn id="35" name="Q4 KPI 1" totalsRowFunction="none"/>
    <tableColumn id="36" name="Q4 KPI 2" totalsRowFunction="none"/>
    <tableColumn id="37" name="Q4 KPI 3" totalsRowFunction="none"/>
    <tableColumn id="38" name="Q4 KPI 4" totalsRowFunction="none"/>
    <tableColumn id="39" name="Q4 KPI 5" totalsRowFunction="none"/>
    <tableColumn id="40" name="Q4 KPI 6" totalsRowFunction="none"/>
    <tableColumn id="41" name="Q4 KPI 7" totalsRowFunction="none"/>
    <tableColumn id="42" name="Q4 KPI 8" totalsRowFunction="none"/>
    <tableColumn id="43" name="Q4 KPI 9" totalsRowFunction="non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name="tblSummary" displayName="tblSummary" ref="A1:L118" totalsRowShown="1" headerRowCount="1">
  <autoFilter ref="A1:L118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</autoFilter>
  <tableColumns count="12">
    <tableColumn id="1" name="Engineer Code" totalsRowLabel="Total"/>
    <tableColumn id="2" name="Engineer Name" totalsRowFunction="none"/>
    <tableColumn id="3" name="Product" totalsRowFunction="none"/>
    <tableColumn id="4" name="Q1 Final Score" totalsRowFunction="none"/>
    <tableColumn id="5" name="Q2 Final Score" totalsRowFunction="none"/>
    <tableColumn id="6" name="Q3 Final Score" totalsRowFunction="none"/>
    <tableColumn id="7" name="Q4 Final Score" totalsRowFunction="none"/>
    <tableColumn id="8" name="Annual Average" totalsRowFunction="none"/>
    <tableColumn id="9" name="Best Quarter" totalsRowFunction="none"/>
    <tableColumn id="10" name="Worst Quarter" totalsRowFunction="none"/>
    <tableColumn id="11" name="Quarter Improvement" totalsRowFunction="none"/>
    <tableColumn id="12" name="Annual Rank" totalsRowFunction="none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3" customWidth="1"/>
    <col min="3" max="3" width="12" customWidth="1"/>
    <col min="4" max="4" width="22" customWidth="1"/>
    <col min="5" max="6" width="12" customWidth="1"/>
    <col min="7" max="7" width="27" customWidth="1"/>
    <col min="8" max="10" width="12" customWidth="1"/>
    <col min="11" max="11" width="20" customWidth="1"/>
    <col min="12" max="13" width="21" customWidth="1"/>
    <col min="14" max="14" width="15" customWidth="1"/>
    <col min="15" max="15" width="19" customWidth="1"/>
  </cols>
  <sheetData>
    <row r="1" ht="28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>
        <v>4969684</v>
      </c>
      <c r="D2" t="s">
        <v>17</v>
      </c>
      <c r="E2">
        <v>7886002522</v>
      </c>
      <c r="F2" t="s">
        <v>18</v>
      </c>
      <c r="G2" t="s">
        <v>19</v>
      </c>
      <c r="H2">
        <v>1</v>
      </c>
      <c r="I2">
        <v>1</v>
      </c>
      <c r="J2">
        <v>0</v>
      </c>
      <c r="K2">
        <v>1</v>
      </c>
      <c r="L2">
        <v>0.5</v>
      </c>
      <c r="M2">
        <v>1</v>
      </c>
      <c r="N2">
        <v>1</v>
      </c>
      <c r="O2">
        <v>110</v>
      </c>
    </row>
    <row r="3" spans="1:15" x14ac:dyDescent="0.25">
      <c r="A3" t="s">
        <v>15</v>
      </c>
      <c r="B3" t="s">
        <v>16</v>
      </c>
      <c r="C3">
        <v>4969685</v>
      </c>
      <c r="D3" t="s">
        <v>20</v>
      </c>
      <c r="E3">
        <v>7886002532</v>
      </c>
      <c r="F3" t="s">
        <v>18</v>
      </c>
      <c r="G3" t="s">
        <v>21</v>
      </c>
      <c r="H3">
        <v>1</v>
      </c>
      <c r="I3">
        <v>0</v>
      </c>
      <c r="J3">
        <v>1</v>
      </c>
      <c r="K3">
        <v>0.975</v>
      </c>
      <c r="L3">
        <v>0.125</v>
      </c>
      <c r="M3">
        <v>1</v>
      </c>
      <c r="N3">
        <v>1</v>
      </c>
      <c r="O3">
        <v>110</v>
      </c>
    </row>
    <row r="4" spans="1:15" x14ac:dyDescent="0.25">
      <c r="A4" t="s">
        <v>15</v>
      </c>
      <c r="B4" t="s">
        <v>16</v>
      </c>
      <c r="C4">
        <v>5933773</v>
      </c>
      <c r="D4" t="s">
        <v>22</v>
      </c>
      <c r="E4">
        <v>7886002529</v>
      </c>
      <c r="F4" t="s">
        <v>18</v>
      </c>
      <c r="G4" t="s">
        <v>23</v>
      </c>
      <c r="H4">
        <v>1</v>
      </c>
      <c r="I4">
        <v>1</v>
      </c>
      <c r="J4">
        <v>0</v>
      </c>
      <c r="K4">
        <v>1</v>
      </c>
      <c r="L4">
        <v>0</v>
      </c>
      <c r="M4">
        <v>1</v>
      </c>
      <c r="N4">
        <v>1</v>
      </c>
      <c r="O4">
        <v>110</v>
      </c>
    </row>
    <row r="5" spans="1:15" x14ac:dyDescent="0.25">
      <c r="A5" t="s">
        <v>15</v>
      </c>
      <c r="B5" t="s">
        <v>16</v>
      </c>
      <c r="C5">
        <v>4969685</v>
      </c>
      <c r="D5" t="s">
        <v>20</v>
      </c>
      <c r="E5">
        <v>7886002535</v>
      </c>
      <c r="F5" t="s">
        <v>24</v>
      </c>
      <c r="G5" t="s">
        <v>25</v>
      </c>
      <c r="H5">
        <v>1</v>
      </c>
      <c r="I5">
        <v>1</v>
      </c>
      <c r="J5">
        <v>0.333</v>
      </c>
      <c r="K5">
        <v>0</v>
      </c>
      <c r="L5">
        <v>0</v>
      </c>
      <c r="M5">
        <v>1</v>
      </c>
      <c r="N5">
        <v>1</v>
      </c>
      <c r="O5">
        <v>100</v>
      </c>
    </row>
    <row r="6" spans="1:15" x14ac:dyDescent="0.25">
      <c r="A6" t="s">
        <v>15</v>
      </c>
      <c r="B6" t="s">
        <v>16</v>
      </c>
      <c r="C6">
        <v>8396105</v>
      </c>
      <c r="D6" t="s">
        <v>26</v>
      </c>
      <c r="E6">
        <v>7886000919</v>
      </c>
      <c r="F6" t="s">
        <v>18</v>
      </c>
      <c r="G6" t="s">
        <v>27</v>
      </c>
      <c r="H6">
        <v>1</v>
      </c>
      <c r="I6">
        <v>1</v>
      </c>
      <c r="J6">
        <v>0</v>
      </c>
      <c r="K6">
        <v>0</v>
      </c>
      <c r="L6">
        <v>0.11111111111111</v>
      </c>
      <c r="M6">
        <v>1</v>
      </c>
      <c r="N6">
        <v>1</v>
      </c>
      <c r="O6">
        <v>95</v>
      </c>
    </row>
    <row r="7" spans="1:15" x14ac:dyDescent="0.25">
      <c r="A7" t="s">
        <v>15</v>
      </c>
      <c r="B7" t="s">
        <v>16</v>
      </c>
      <c r="C7">
        <v>9203499</v>
      </c>
      <c r="D7" t="s">
        <v>28</v>
      </c>
      <c r="E7">
        <v>7886001034</v>
      </c>
      <c r="F7" t="s">
        <v>18</v>
      </c>
      <c r="G7" t="s">
        <v>29</v>
      </c>
      <c r="H7">
        <v>1</v>
      </c>
      <c r="I7">
        <v>1</v>
      </c>
      <c r="J7">
        <v>0</v>
      </c>
      <c r="K7">
        <v>0</v>
      </c>
      <c r="L7">
        <v>0</v>
      </c>
      <c r="M7">
        <v>1</v>
      </c>
      <c r="N7">
        <v>1</v>
      </c>
      <c r="O7">
        <v>95</v>
      </c>
    </row>
    <row r="8" spans="1:15" x14ac:dyDescent="0.25">
      <c r="A8" t="s">
        <v>15</v>
      </c>
      <c r="B8" t="s">
        <v>16</v>
      </c>
      <c r="C8">
        <v>9390474</v>
      </c>
      <c r="D8" t="s">
        <v>30</v>
      </c>
      <c r="E8">
        <v>7886002144</v>
      </c>
      <c r="F8" t="s">
        <v>18</v>
      </c>
      <c r="G8" t="s">
        <v>31</v>
      </c>
      <c r="H8">
        <v>1</v>
      </c>
      <c r="I8">
        <v>1</v>
      </c>
      <c r="J8">
        <v>0</v>
      </c>
      <c r="K8">
        <v>0</v>
      </c>
      <c r="L8">
        <v>0</v>
      </c>
      <c r="M8">
        <v>1</v>
      </c>
      <c r="N8">
        <v>1</v>
      </c>
      <c r="O8">
        <v>95</v>
      </c>
    </row>
    <row r="9" spans="1:15" x14ac:dyDescent="0.25">
      <c r="A9" t="s">
        <v>15</v>
      </c>
      <c r="B9" t="s">
        <v>16</v>
      </c>
      <c r="C9">
        <v>2490932</v>
      </c>
      <c r="D9" t="s">
        <v>32</v>
      </c>
      <c r="E9">
        <v>7886002061</v>
      </c>
      <c r="F9" t="s">
        <v>18</v>
      </c>
      <c r="G9" t="s">
        <v>33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1</v>
      </c>
      <c r="O9">
        <v>90</v>
      </c>
    </row>
    <row r="10" spans="1:15" x14ac:dyDescent="0.25">
      <c r="A10" t="s">
        <v>15</v>
      </c>
      <c r="B10" t="s">
        <v>16</v>
      </c>
      <c r="C10">
        <v>2490932</v>
      </c>
      <c r="D10" t="s">
        <v>32</v>
      </c>
      <c r="E10">
        <v>7886002661</v>
      </c>
      <c r="F10" t="s">
        <v>18</v>
      </c>
      <c r="G10" t="s">
        <v>34</v>
      </c>
      <c r="H10">
        <v>1</v>
      </c>
      <c r="I10">
        <v>1</v>
      </c>
      <c r="J10">
        <v>0</v>
      </c>
      <c r="K10">
        <v>1</v>
      </c>
      <c r="L10">
        <v>0</v>
      </c>
      <c r="M10" t="s">
        <v>35</v>
      </c>
      <c r="N10">
        <v>1</v>
      </c>
      <c r="O10">
        <v>90</v>
      </c>
    </row>
    <row r="11" spans="1:15" x14ac:dyDescent="0.25">
      <c r="A11" t="s">
        <v>15</v>
      </c>
      <c r="B11" t="s">
        <v>16</v>
      </c>
      <c r="C11">
        <v>4970875</v>
      </c>
      <c r="D11" t="s">
        <v>36</v>
      </c>
      <c r="E11">
        <v>7886002673</v>
      </c>
      <c r="F11" t="s">
        <v>18</v>
      </c>
      <c r="G11" t="s">
        <v>37</v>
      </c>
      <c r="H11">
        <v>1</v>
      </c>
      <c r="I11">
        <v>1</v>
      </c>
      <c r="J11">
        <v>0</v>
      </c>
      <c r="K11">
        <v>1</v>
      </c>
      <c r="L11">
        <v>0</v>
      </c>
      <c r="M11">
        <v>0</v>
      </c>
      <c r="N11">
        <v>1</v>
      </c>
      <c r="O11">
        <v>90</v>
      </c>
    </row>
    <row r="12" spans="1:15" x14ac:dyDescent="0.25">
      <c r="A12" t="s">
        <v>15</v>
      </c>
      <c r="B12" t="s">
        <v>16</v>
      </c>
      <c r="C12">
        <v>4970875</v>
      </c>
      <c r="D12" t="s">
        <v>36</v>
      </c>
      <c r="E12">
        <v>7886002844</v>
      </c>
      <c r="F12" t="s">
        <v>18</v>
      </c>
      <c r="G12" t="s">
        <v>38</v>
      </c>
      <c r="H12">
        <v>1</v>
      </c>
      <c r="I12">
        <v>1</v>
      </c>
      <c r="J12">
        <v>0</v>
      </c>
      <c r="K12">
        <v>1</v>
      </c>
      <c r="L12">
        <v>0.05882352941176</v>
      </c>
      <c r="M12">
        <v>0</v>
      </c>
      <c r="N12">
        <v>1</v>
      </c>
      <c r="O12">
        <v>90</v>
      </c>
    </row>
    <row r="13" spans="1:15" x14ac:dyDescent="0.25">
      <c r="A13" t="s">
        <v>15</v>
      </c>
      <c r="B13" t="s">
        <v>16</v>
      </c>
      <c r="C13">
        <v>5797728</v>
      </c>
      <c r="D13" t="s">
        <v>39</v>
      </c>
      <c r="E13">
        <v>7886002491</v>
      </c>
      <c r="F13" t="s">
        <v>18</v>
      </c>
      <c r="G13" t="s">
        <v>40</v>
      </c>
      <c r="H13">
        <v>1</v>
      </c>
      <c r="I13">
        <v>1</v>
      </c>
      <c r="J13">
        <v>1</v>
      </c>
      <c r="K13">
        <v>0.9230769230769231</v>
      </c>
      <c r="L13">
        <v>0</v>
      </c>
      <c r="M13" t="s">
        <v>35</v>
      </c>
      <c r="N13">
        <v>1</v>
      </c>
      <c r="O13">
        <v>90</v>
      </c>
    </row>
    <row r="14" spans="1:15" x14ac:dyDescent="0.25">
      <c r="A14" t="s">
        <v>15</v>
      </c>
      <c r="B14" t="s">
        <v>16</v>
      </c>
      <c r="C14">
        <v>9203497</v>
      </c>
      <c r="D14" t="s">
        <v>41</v>
      </c>
      <c r="E14">
        <v>7886002470</v>
      </c>
      <c r="F14" t="s">
        <v>18</v>
      </c>
      <c r="G14" t="s">
        <v>42</v>
      </c>
      <c r="H14">
        <v>1</v>
      </c>
      <c r="I14">
        <v>1</v>
      </c>
      <c r="J14">
        <v>0</v>
      </c>
      <c r="K14">
        <v>1</v>
      </c>
      <c r="L14">
        <v>0</v>
      </c>
      <c r="M14" t="s">
        <v>35</v>
      </c>
      <c r="N14">
        <v>1</v>
      </c>
      <c r="O14">
        <v>90</v>
      </c>
    </row>
    <row r="15" spans="1:15" x14ac:dyDescent="0.25">
      <c r="A15" t="s">
        <v>15</v>
      </c>
      <c r="B15" t="s">
        <v>16</v>
      </c>
      <c r="C15">
        <v>9203501</v>
      </c>
      <c r="D15" t="s">
        <v>43</v>
      </c>
      <c r="E15">
        <v>7886002565</v>
      </c>
      <c r="F15" t="s">
        <v>18</v>
      </c>
      <c r="G15" t="s">
        <v>44</v>
      </c>
      <c r="H15">
        <v>1</v>
      </c>
      <c r="I15">
        <v>1</v>
      </c>
      <c r="J15">
        <v>0</v>
      </c>
      <c r="K15">
        <v>1</v>
      </c>
      <c r="L15">
        <v>0</v>
      </c>
      <c r="M15" t="s">
        <v>35</v>
      </c>
      <c r="N15">
        <v>1</v>
      </c>
      <c r="O15">
        <v>90</v>
      </c>
    </row>
    <row r="16" spans="1:15" x14ac:dyDescent="0.25">
      <c r="A16" t="s">
        <v>15</v>
      </c>
      <c r="B16" t="s">
        <v>16</v>
      </c>
      <c r="C16">
        <v>8351903</v>
      </c>
      <c r="D16" t="s">
        <v>45</v>
      </c>
      <c r="E16">
        <v>7886000279</v>
      </c>
      <c r="F16" t="s">
        <v>18</v>
      </c>
      <c r="G16" t="s">
        <v>46</v>
      </c>
      <c r="H16">
        <v>1</v>
      </c>
      <c r="I16">
        <v>1</v>
      </c>
      <c r="J16">
        <v>0</v>
      </c>
      <c r="K16">
        <v>1</v>
      </c>
      <c r="L16">
        <v>0</v>
      </c>
      <c r="M16">
        <v>0.5</v>
      </c>
      <c r="N16">
        <v>1</v>
      </c>
      <c r="O16">
        <v>85</v>
      </c>
    </row>
    <row r="17" spans="1:15" x14ac:dyDescent="0.25">
      <c r="A17" t="s">
        <v>15</v>
      </c>
      <c r="B17" t="s">
        <v>16</v>
      </c>
      <c r="C17">
        <v>1390788</v>
      </c>
      <c r="D17" t="s">
        <v>47</v>
      </c>
      <c r="E17">
        <v>7886002136</v>
      </c>
      <c r="F17" t="s">
        <v>18</v>
      </c>
      <c r="G17" t="s">
        <v>48</v>
      </c>
      <c r="H17">
        <v>1</v>
      </c>
      <c r="I17">
        <v>1</v>
      </c>
      <c r="J17">
        <v>0</v>
      </c>
      <c r="K17">
        <v>0</v>
      </c>
      <c r="L17">
        <v>0.2</v>
      </c>
      <c r="M17">
        <v>0.5</v>
      </c>
      <c r="N17">
        <v>1</v>
      </c>
      <c r="O17">
        <v>85</v>
      </c>
    </row>
    <row r="18" spans="1:15" x14ac:dyDescent="0.25">
      <c r="A18" t="s">
        <v>15</v>
      </c>
      <c r="B18" t="s">
        <v>16</v>
      </c>
      <c r="C18">
        <v>1390788</v>
      </c>
      <c r="D18" t="s">
        <v>47</v>
      </c>
      <c r="E18">
        <v>7886002360</v>
      </c>
      <c r="F18" t="s">
        <v>24</v>
      </c>
      <c r="G18" t="s">
        <v>49</v>
      </c>
      <c r="H18">
        <v>1</v>
      </c>
      <c r="I18">
        <v>1</v>
      </c>
      <c r="J18">
        <v>0</v>
      </c>
      <c r="K18">
        <v>0</v>
      </c>
      <c r="L18">
        <v>0</v>
      </c>
      <c r="M18">
        <v>0.5</v>
      </c>
      <c r="N18">
        <v>1</v>
      </c>
      <c r="O18">
        <v>85</v>
      </c>
    </row>
    <row r="19" spans="1:15" x14ac:dyDescent="0.25">
      <c r="A19" t="s">
        <v>15</v>
      </c>
      <c r="B19" t="s">
        <v>16</v>
      </c>
      <c r="C19">
        <v>1390788</v>
      </c>
      <c r="D19" t="s">
        <v>47</v>
      </c>
      <c r="E19">
        <v>7886002410</v>
      </c>
      <c r="F19" t="s">
        <v>24</v>
      </c>
      <c r="G19" t="s">
        <v>50</v>
      </c>
      <c r="H19">
        <v>1</v>
      </c>
      <c r="I19">
        <v>1</v>
      </c>
      <c r="J19">
        <v>0</v>
      </c>
      <c r="K19">
        <v>0</v>
      </c>
      <c r="L19">
        <v>0</v>
      </c>
      <c r="M19">
        <v>0.5</v>
      </c>
      <c r="N19">
        <v>1</v>
      </c>
      <c r="O19">
        <v>85</v>
      </c>
    </row>
    <row r="20" spans="1:15" x14ac:dyDescent="0.25">
      <c r="A20" t="s">
        <v>15</v>
      </c>
      <c r="B20" t="s">
        <v>16</v>
      </c>
      <c r="C20">
        <v>8351903</v>
      </c>
      <c r="D20" t="s">
        <v>45</v>
      </c>
      <c r="E20">
        <v>7886001745</v>
      </c>
      <c r="F20" t="s">
        <v>18</v>
      </c>
      <c r="G20" t="s">
        <v>51</v>
      </c>
      <c r="H20">
        <v>1</v>
      </c>
      <c r="I20">
        <v>1</v>
      </c>
      <c r="J20">
        <v>0.667</v>
      </c>
      <c r="K20">
        <v>1</v>
      </c>
      <c r="L20">
        <v>0</v>
      </c>
      <c r="M20" t="s">
        <v>35</v>
      </c>
      <c r="N20">
        <v>1</v>
      </c>
      <c r="O20">
        <v>85</v>
      </c>
    </row>
    <row r="21" spans="1:15" x14ac:dyDescent="0.25">
      <c r="A21" t="s">
        <v>15</v>
      </c>
      <c r="B21" t="s">
        <v>16</v>
      </c>
      <c r="C21">
        <v>8351903</v>
      </c>
      <c r="D21" t="s">
        <v>45</v>
      </c>
      <c r="E21">
        <v>7886002009</v>
      </c>
      <c r="F21" t="s">
        <v>18</v>
      </c>
      <c r="G21" t="s">
        <v>52</v>
      </c>
      <c r="H21">
        <v>1</v>
      </c>
      <c r="I21">
        <v>1</v>
      </c>
      <c r="J21">
        <v>0.667</v>
      </c>
      <c r="K21">
        <v>1</v>
      </c>
      <c r="L21">
        <v>0</v>
      </c>
      <c r="M21">
        <v>0</v>
      </c>
      <c r="N21">
        <v>1</v>
      </c>
      <c r="O21">
        <v>85</v>
      </c>
    </row>
    <row r="22" spans="1:15" x14ac:dyDescent="0.25">
      <c r="A22" t="s">
        <v>15</v>
      </c>
      <c r="B22" t="s">
        <v>16</v>
      </c>
      <c r="C22">
        <v>9372701</v>
      </c>
      <c r="D22" t="s">
        <v>53</v>
      </c>
      <c r="E22">
        <v>7886002429</v>
      </c>
      <c r="F22" t="s">
        <v>24</v>
      </c>
      <c r="G22" t="s">
        <v>54</v>
      </c>
      <c r="H22">
        <v>1</v>
      </c>
      <c r="I22">
        <v>1</v>
      </c>
      <c r="J22">
        <v>0.333</v>
      </c>
      <c r="K22">
        <v>1</v>
      </c>
      <c r="L22">
        <v>0</v>
      </c>
      <c r="M22" t="s">
        <v>35</v>
      </c>
      <c r="N22">
        <v>1</v>
      </c>
      <c r="O22">
        <v>80</v>
      </c>
    </row>
    <row r="23" spans="1:15" x14ac:dyDescent="0.25">
      <c r="A23" t="s">
        <v>15</v>
      </c>
      <c r="B23" t="s">
        <v>16</v>
      </c>
      <c r="C23">
        <v>8351903</v>
      </c>
      <c r="D23" t="s">
        <v>45</v>
      </c>
      <c r="E23">
        <v>7886002099</v>
      </c>
      <c r="F23" t="s">
        <v>18</v>
      </c>
      <c r="G23" t="s">
        <v>55</v>
      </c>
      <c r="H23">
        <v>1</v>
      </c>
      <c r="I23">
        <v>1</v>
      </c>
      <c r="J23">
        <v>0</v>
      </c>
      <c r="K23">
        <v>0</v>
      </c>
      <c r="L23">
        <v>0</v>
      </c>
      <c r="M23">
        <v>0.5</v>
      </c>
      <c r="N23">
        <v>1</v>
      </c>
      <c r="O23">
        <v>85</v>
      </c>
    </row>
    <row r="24" spans="1:15" x14ac:dyDescent="0.25">
      <c r="A24" t="s">
        <v>15</v>
      </c>
      <c r="B24" t="s">
        <v>16</v>
      </c>
      <c r="C24">
        <v>9203499</v>
      </c>
      <c r="D24" t="s">
        <v>28</v>
      </c>
      <c r="E24">
        <v>7886002432</v>
      </c>
      <c r="F24" t="s">
        <v>18</v>
      </c>
      <c r="G24" t="s">
        <v>56</v>
      </c>
      <c r="H24">
        <v>1</v>
      </c>
      <c r="I24">
        <v>1</v>
      </c>
      <c r="J24">
        <v>0.667</v>
      </c>
      <c r="K24">
        <v>0.8571428571428571</v>
      </c>
      <c r="L24">
        <v>0</v>
      </c>
      <c r="M24" t="s">
        <v>35</v>
      </c>
      <c r="N24">
        <v>1</v>
      </c>
      <c r="O24">
        <v>85</v>
      </c>
    </row>
    <row r="25" spans="1:15" x14ac:dyDescent="0.25">
      <c r="A25" t="s">
        <v>15</v>
      </c>
      <c r="B25" t="s">
        <v>16</v>
      </c>
      <c r="C25">
        <v>4162738</v>
      </c>
      <c r="D25" t="s">
        <v>57</v>
      </c>
      <c r="E25">
        <v>7886002743</v>
      </c>
      <c r="F25" t="s">
        <v>18</v>
      </c>
      <c r="G25" t="s">
        <v>58</v>
      </c>
      <c r="H25">
        <v>1</v>
      </c>
      <c r="I25">
        <v>1</v>
      </c>
      <c r="J25">
        <v>0.333</v>
      </c>
      <c r="K25">
        <v>0.7368421052631579</v>
      </c>
      <c r="L25">
        <v>0</v>
      </c>
      <c r="M25" t="s">
        <v>35</v>
      </c>
      <c r="N25">
        <v>1</v>
      </c>
      <c r="O25">
        <v>78.0030959752322</v>
      </c>
    </row>
    <row r="26" spans="1:15" x14ac:dyDescent="0.25">
      <c r="A26" t="s">
        <v>15</v>
      </c>
      <c r="B26" t="s">
        <v>16</v>
      </c>
      <c r="C26">
        <v>9203499</v>
      </c>
      <c r="D26" t="s">
        <v>28</v>
      </c>
      <c r="E26">
        <v>7886001055</v>
      </c>
      <c r="F26" t="s">
        <v>18</v>
      </c>
      <c r="G26" t="s">
        <v>59</v>
      </c>
      <c r="H26">
        <v>1</v>
      </c>
      <c r="I26">
        <v>1</v>
      </c>
      <c r="J26">
        <v>0.333</v>
      </c>
      <c r="K26">
        <v>0.6666666666666666</v>
      </c>
      <c r="L26">
        <v>0</v>
      </c>
      <c r="M26" t="s">
        <v>35</v>
      </c>
      <c r="N26">
        <v>1</v>
      </c>
      <c r="O26">
        <v>76.76470588235294</v>
      </c>
    </row>
    <row r="27" spans="1:15" x14ac:dyDescent="0.25">
      <c r="A27" t="s">
        <v>15</v>
      </c>
      <c r="B27" t="s">
        <v>16</v>
      </c>
      <c r="C27">
        <v>9203507</v>
      </c>
      <c r="D27" t="s">
        <v>60</v>
      </c>
      <c r="E27">
        <v>7886000680</v>
      </c>
      <c r="F27" t="s">
        <v>18</v>
      </c>
      <c r="G27" t="s">
        <v>61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75</v>
      </c>
    </row>
    <row r="28" spans="1:15" x14ac:dyDescent="0.25">
      <c r="A28" t="s">
        <v>15</v>
      </c>
      <c r="B28" t="s">
        <v>16</v>
      </c>
      <c r="C28">
        <v>1390788</v>
      </c>
      <c r="D28" t="s">
        <v>47</v>
      </c>
      <c r="E28">
        <v>7886002683</v>
      </c>
      <c r="F28" t="s">
        <v>18</v>
      </c>
      <c r="G28" t="s">
        <v>62</v>
      </c>
      <c r="H28">
        <v>1</v>
      </c>
      <c r="I28">
        <v>1</v>
      </c>
      <c r="J28">
        <v>0</v>
      </c>
      <c r="K28">
        <v>0</v>
      </c>
      <c r="L28">
        <v>0</v>
      </c>
      <c r="M28" t="s">
        <v>35</v>
      </c>
      <c r="N28">
        <v>1</v>
      </c>
      <c r="O28">
        <v>75</v>
      </c>
    </row>
    <row r="29" spans="1:15" x14ac:dyDescent="0.25">
      <c r="A29" t="s">
        <v>15</v>
      </c>
      <c r="B29" t="s">
        <v>16</v>
      </c>
      <c r="C29">
        <v>2226596</v>
      </c>
      <c r="D29" t="s">
        <v>63</v>
      </c>
      <c r="E29">
        <v>7886002401</v>
      </c>
      <c r="F29" t="s">
        <v>18</v>
      </c>
      <c r="G29" t="s">
        <v>64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75</v>
      </c>
    </row>
    <row r="30" spans="1:15" x14ac:dyDescent="0.25">
      <c r="A30" t="s">
        <v>15</v>
      </c>
      <c r="B30" t="s">
        <v>16</v>
      </c>
      <c r="C30">
        <v>2278119</v>
      </c>
      <c r="D30" t="s">
        <v>65</v>
      </c>
      <c r="E30">
        <v>7886002386</v>
      </c>
      <c r="F30" t="s">
        <v>18</v>
      </c>
      <c r="G30" t="s">
        <v>66</v>
      </c>
      <c r="H30">
        <v>1</v>
      </c>
      <c r="I30">
        <v>1</v>
      </c>
      <c r="J30">
        <v>0</v>
      </c>
      <c r="K30">
        <v>0</v>
      </c>
      <c r="L30">
        <v>0.12820512820513</v>
      </c>
      <c r="M30">
        <v>0</v>
      </c>
      <c r="N30">
        <v>1</v>
      </c>
      <c r="O30">
        <v>75</v>
      </c>
    </row>
    <row r="31" spans="1:15" x14ac:dyDescent="0.25">
      <c r="A31" t="s">
        <v>15</v>
      </c>
      <c r="B31" t="s">
        <v>16</v>
      </c>
      <c r="C31">
        <v>2490932</v>
      </c>
      <c r="D31" t="s">
        <v>32</v>
      </c>
      <c r="E31">
        <v>7886002660</v>
      </c>
      <c r="F31" t="s">
        <v>18</v>
      </c>
      <c r="G31" t="s">
        <v>34</v>
      </c>
      <c r="H31">
        <v>1</v>
      </c>
      <c r="I31">
        <v>1</v>
      </c>
      <c r="J31">
        <v>0</v>
      </c>
      <c r="K31">
        <v>0</v>
      </c>
      <c r="L31">
        <v>0</v>
      </c>
      <c r="M31" t="s">
        <v>35</v>
      </c>
      <c r="N31">
        <v>1</v>
      </c>
      <c r="O31">
        <v>75</v>
      </c>
    </row>
    <row r="32" spans="1:15" x14ac:dyDescent="0.25">
      <c r="A32" t="s">
        <v>15</v>
      </c>
      <c r="B32" t="s">
        <v>16</v>
      </c>
      <c r="C32">
        <v>3489862</v>
      </c>
      <c r="D32" t="s">
        <v>67</v>
      </c>
      <c r="E32">
        <v>7086001106</v>
      </c>
      <c r="F32" t="s">
        <v>18</v>
      </c>
      <c r="G32" t="s">
        <v>68</v>
      </c>
      <c r="H32">
        <v>1</v>
      </c>
      <c r="I32">
        <v>1</v>
      </c>
      <c r="J32">
        <v>0</v>
      </c>
      <c r="K32">
        <v>0</v>
      </c>
      <c r="L32">
        <v>0.11111111111111</v>
      </c>
      <c r="M32" t="s">
        <v>35</v>
      </c>
      <c r="N32">
        <v>1</v>
      </c>
      <c r="O32">
        <v>75</v>
      </c>
    </row>
    <row r="33" spans="1:15" x14ac:dyDescent="0.25">
      <c r="A33" t="s">
        <v>15</v>
      </c>
      <c r="B33" t="s">
        <v>16</v>
      </c>
      <c r="C33">
        <v>4162738</v>
      </c>
      <c r="D33" t="s">
        <v>57</v>
      </c>
      <c r="E33">
        <v>7886002670</v>
      </c>
      <c r="F33" t="s">
        <v>18</v>
      </c>
      <c r="G33" t="s">
        <v>34</v>
      </c>
      <c r="H33">
        <v>1</v>
      </c>
      <c r="I33">
        <v>1</v>
      </c>
      <c r="J33">
        <v>0</v>
      </c>
      <c r="K33">
        <v>0</v>
      </c>
      <c r="L33">
        <v>0</v>
      </c>
      <c r="M33" t="s">
        <v>35</v>
      </c>
      <c r="N33">
        <v>1</v>
      </c>
      <c r="O33">
        <v>75</v>
      </c>
    </row>
    <row r="34" spans="1:15" x14ac:dyDescent="0.25">
      <c r="A34" t="s">
        <v>15</v>
      </c>
      <c r="B34" t="s">
        <v>16</v>
      </c>
      <c r="C34">
        <v>4162738</v>
      </c>
      <c r="D34" t="s">
        <v>57</v>
      </c>
      <c r="E34">
        <v>7886002792</v>
      </c>
      <c r="F34" t="s">
        <v>18</v>
      </c>
      <c r="G34" t="s">
        <v>69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1</v>
      </c>
      <c r="O34">
        <v>75</v>
      </c>
    </row>
    <row r="35" spans="1:15" x14ac:dyDescent="0.25">
      <c r="A35" t="s">
        <v>15</v>
      </c>
      <c r="B35" t="s">
        <v>16</v>
      </c>
      <c r="C35">
        <v>4162738</v>
      </c>
      <c r="D35" t="s">
        <v>57</v>
      </c>
      <c r="E35">
        <v>7886002794</v>
      </c>
      <c r="F35" t="s">
        <v>18</v>
      </c>
      <c r="G35" t="s">
        <v>70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1</v>
      </c>
      <c r="O35">
        <v>75</v>
      </c>
    </row>
    <row r="36" spans="1:15" x14ac:dyDescent="0.25">
      <c r="A36" t="s">
        <v>15</v>
      </c>
      <c r="B36" t="s">
        <v>16</v>
      </c>
      <c r="C36">
        <v>4970875</v>
      </c>
      <c r="D36" t="s">
        <v>36</v>
      </c>
      <c r="E36">
        <v>7886002675</v>
      </c>
      <c r="F36" t="s">
        <v>18</v>
      </c>
      <c r="G36" t="s">
        <v>71</v>
      </c>
      <c r="H36">
        <v>1</v>
      </c>
      <c r="I36">
        <v>1</v>
      </c>
      <c r="J36">
        <v>0</v>
      </c>
      <c r="K36">
        <v>0</v>
      </c>
      <c r="L36">
        <v>0.29411764705882</v>
      </c>
      <c r="M36" t="s">
        <v>35</v>
      </c>
      <c r="N36">
        <v>1</v>
      </c>
      <c r="O36">
        <v>75</v>
      </c>
    </row>
    <row r="37" spans="1:15" x14ac:dyDescent="0.25">
      <c r="A37" t="s">
        <v>15</v>
      </c>
      <c r="B37" t="s">
        <v>16</v>
      </c>
      <c r="C37">
        <v>5797725</v>
      </c>
      <c r="D37" t="s">
        <v>72</v>
      </c>
      <c r="E37">
        <v>7886002538</v>
      </c>
      <c r="F37" t="s">
        <v>18</v>
      </c>
      <c r="G37" t="s">
        <v>73</v>
      </c>
      <c r="H37">
        <v>1</v>
      </c>
      <c r="I37">
        <v>1</v>
      </c>
      <c r="J37">
        <v>0</v>
      </c>
      <c r="K37">
        <v>1</v>
      </c>
      <c r="L37">
        <v>0</v>
      </c>
      <c r="M37" t="s">
        <v>35</v>
      </c>
      <c r="N37">
        <v>1</v>
      </c>
      <c r="O37">
        <v>75</v>
      </c>
    </row>
    <row r="38" spans="1:15" x14ac:dyDescent="0.25">
      <c r="A38" t="s">
        <v>15</v>
      </c>
      <c r="B38" t="s">
        <v>16</v>
      </c>
      <c r="C38">
        <v>5797725</v>
      </c>
      <c r="D38" t="s">
        <v>72</v>
      </c>
      <c r="E38">
        <v>7886002539</v>
      </c>
      <c r="F38" t="s">
        <v>18</v>
      </c>
      <c r="G38" t="s">
        <v>74</v>
      </c>
      <c r="H38">
        <v>1</v>
      </c>
      <c r="I38">
        <v>1</v>
      </c>
      <c r="J38">
        <v>0</v>
      </c>
      <c r="K38">
        <v>1</v>
      </c>
      <c r="L38">
        <v>0</v>
      </c>
      <c r="M38" t="s">
        <v>35</v>
      </c>
      <c r="N38">
        <v>1</v>
      </c>
      <c r="O38">
        <v>75</v>
      </c>
    </row>
    <row r="39" spans="1:15" x14ac:dyDescent="0.25">
      <c r="A39" t="s">
        <v>15</v>
      </c>
      <c r="B39" t="s">
        <v>16</v>
      </c>
      <c r="C39">
        <v>5797725</v>
      </c>
      <c r="D39" t="s">
        <v>72</v>
      </c>
      <c r="E39">
        <v>7886002540</v>
      </c>
      <c r="F39" t="s">
        <v>75</v>
      </c>
      <c r="G39" t="s">
        <v>76</v>
      </c>
      <c r="H39">
        <v>1</v>
      </c>
      <c r="I39">
        <v>1</v>
      </c>
      <c r="J39">
        <v>0</v>
      </c>
      <c r="K39">
        <v>1</v>
      </c>
      <c r="L39">
        <v>0</v>
      </c>
      <c r="M39" t="s">
        <v>35</v>
      </c>
      <c r="N39">
        <v>1</v>
      </c>
      <c r="O39">
        <v>75</v>
      </c>
    </row>
    <row r="40" spans="1:15" x14ac:dyDescent="0.25">
      <c r="A40" t="s">
        <v>15</v>
      </c>
      <c r="B40" t="s">
        <v>16</v>
      </c>
      <c r="C40">
        <v>5797725</v>
      </c>
      <c r="D40" t="s">
        <v>72</v>
      </c>
      <c r="E40">
        <v>7886002543</v>
      </c>
      <c r="F40" t="s">
        <v>18</v>
      </c>
      <c r="G40" t="s">
        <v>77</v>
      </c>
      <c r="H40">
        <v>1</v>
      </c>
      <c r="I40">
        <v>1</v>
      </c>
      <c r="J40">
        <v>0</v>
      </c>
      <c r="K40">
        <v>1</v>
      </c>
      <c r="L40">
        <v>0</v>
      </c>
      <c r="M40" t="s">
        <v>35</v>
      </c>
      <c r="N40">
        <v>1</v>
      </c>
      <c r="O40">
        <v>75</v>
      </c>
    </row>
    <row r="41" spans="1:15" x14ac:dyDescent="0.25">
      <c r="A41" t="s">
        <v>15</v>
      </c>
      <c r="B41" t="s">
        <v>16</v>
      </c>
      <c r="C41">
        <v>5797725</v>
      </c>
      <c r="D41" t="s">
        <v>72</v>
      </c>
      <c r="E41">
        <v>7886002544</v>
      </c>
      <c r="F41" t="s">
        <v>18</v>
      </c>
      <c r="G41" t="s">
        <v>78</v>
      </c>
      <c r="H41">
        <v>1</v>
      </c>
      <c r="I41">
        <v>1</v>
      </c>
      <c r="J41">
        <v>0</v>
      </c>
      <c r="K41">
        <v>1</v>
      </c>
      <c r="L41">
        <v>0</v>
      </c>
      <c r="M41" t="s">
        <v>35</v>
      </c>
      <c r="N41">
        <v>1</v>
      </c>
      <c r="O41">
        <v>75</v>
      </c>
    </row>
    <row r="42" spans="1:15" x14ac:dyDescent="0.25">
      <c r="A42" t="s">
        <v>15</v>
      </c>
      <c r="B42" t="s">
        <v>16</v>
      </c>
      <c r="C42">
        <v>5797725</v>
      </c>
      <c r="D42" t="s">
        <v>72</v>
      </c>
      <c r="E42">
        <v>7886002545</v>
      </c>
      <c r="F42" t="s">
        <v>18</v>
      </c>
      <c r="G42" t="s">
        <v>79</v>
      </c>
      <c r="H42">
        <v>1</v>
      </c>
      <c r="I42">
        <v>1</v>
      </c>
      <c r="J42">
        <v>0</v>
      </c>
      <c r="K42">
        <v>1</v>
      </c>
      <c r="L42">
        <v>0</v>
      </c>
      <c r="M42" t="s">
        <v>35</v>
      </c>
      <c r="N42">
        <v>1</v>
      </c>
      <c r="O42">
        <v>75</v>
      </c>
    </row>
    <row r="43" spans="1:15" x14ac:dyDescent="0.25">
      <c r="A43" t="s">
        <v>15</v>
      </c>
      <c r="B43" t="s">
        <v>16</v>
      </c>
      <c r="C43">
        <v>5797725</v>
      </c>
      <c r="D43" t="s">
        <v>72</v>
      </c>
      <c r="E43">
        <v>7886002643</v>
      </c>
      <c r="F43" t="s">
        <v>18</v>
      </c>
      <c r="G43" t="s">
        <v>80</v>
      </c>
      <c r="H43">
        <v>1</v>
      </c>
      <c r="I43">
        <v>1</v>
      </c>
      <c r="J43">
        <v>0</v>
      </c>
      <c r="K43">
        <v>1</v>
      </c>
      <c r="L43">
        <v>0</v>
      </c>
      <c r="M43" t="s">
        <v>35</v>
      </c>
      <c r="N43">
        <v>1</v>
      </c>
      <c r="O43">
        <v>75</v>
      </c>
    </row>
    <row r="44" spans="1:15" x14ac:dyDescent="0.25">
      <c r="A44" t="s">
        <v>15</v>
      </c>
      <c r="B44" t="s">
        <v>16</v>
      </c>
      <c r="C44">
        <v>5797727</v>
      </c>
      <c r="D44" t="s">
        <v>81</v>
      </c>
      <c r="E44">
        <v>7886002546</v>
      </c>
      <c r="F44" t="s">
        <v>18</v>
      </c>
      <c r="G44" t="s">
        <v>34</v>
      </c>
      <c r="H44">
        <v>1</v>
      </c>
      <c r="I44">
        <v>1</v>
      </c>
      <c r="J44">
        <v>0</v>
      </c>
      <c r="K44">
        <v>0.9629629629629629</v>
      </c>
      <c r="L44">
        <v>0</v>
      </c>
      <c r="M44" t="s">
        <v>35</v>
      </c>
      <c r="N44">
        <v>1</v>
      </c>
      <c r="O44">
        <v>75</v>
      </c>
    </row>
    <row r="45" spans="1:15" x14ac:dyDescent="0.25">
      <c r="A45" t="s">
        <v>15</v>
      </c>
      <c r="B45" t="s">
        <v>16</v>
      </c>
      <c r="C45">
        <v>5797727</v>
      </c>
      <c r="D45" t="s">
        <v>81</v>
      </c>
      <c r="E45">
        <v>7886002547</v>
      </c>
      <c r="F45" t="s">
        <v>18</v>
      </c>
      <c r="G45" t="s">
        <v>34</v>
      </c>
      <c r="H45">
        <v>1</v>
      </c>
      <c r="I45">
        <v>1</v>
      </c>
      <c r="J45">
        <v>0</v>
      </c>
      <c r="K45">
        <v>0.9545454545454546</v>
      </c>
      <c r="L45">
        <v>0</v>
      </c>
      <c r="M45" t="s">
        <v>35</v>
      </c>
      <c r="N45">
        <v>1</v>
      </c>
      <c r="O45">
        <v>75</v>
      </c>
    </row>
    <row r="46" spans="1:15" x14ac:dyDescent="0.25">
      <c r="A46" t="s">
        <v>15</v>
      </c>
      <c r="B46" t="s">
        <v>16</v>
      </c>
      <c r="C46">
        <v>5797727</v>
      </c>
      <c r="D46" t="s">
        <v>81</v>
      </c>
      <c r="E46">
        <v>7886002548</v>
      </c>
      <c r="F46" t="s">
        <v>18</v>
      </c>
      <c r="G46" t="s">
        <v>34</v>
      </c>
      <c r="H46">
        <v>1</v>
      </c>
      <c r="I46">
        <v>1</v>
      </c>
      <c r="J46">
        <v>0</v>
      </c>
      <c r="K46">
        <v>0.8888888888888888</v>
      </c>
      <c r="L46">
        <v>0</v>
      </c>
      <c r="M46" t="s">
        <v>35</v>
      </c>
      <c r="N46">
        <v>1</v>
      </c>
      <c r="O46">
        <v>75</v>
      </c>
    </row>
    <row r="47" spans="1:15" x14ac:dyDescent="0.25">
      <c r="A47" t="s">
        <v>15</v>
      </c>
      <c r="B47" t="s">
        <v>16</v>
      </c>
      <c r="C47">
        <v>5797728</v>
      </c>
      <c r="D47" t="s">
        <v>39</v>
      </c>
      <c r="E47">
        <v>7886002489</v>
      </c>
      <c r="F47" t="s">
        <v>18</v>
      </c>
      <c r="G47" t="s">
        <v>82</v>
      </c>
      <c r="H47">
        <v>1</v>
      </c>
      <c r="I47">
        <v>1</v>
      </c>
      <c r="J47">
        <v>0</v>
      </c>
      <c r="K47">
        <v>1</v>
      </c>
      <c r="L47">
        <v>0</v>
      </c>
      <c r="M47" t="s">
        <v>35</v>
      </c>
      <c r="N47">
        <v>1</v>
      </c>
      <c r="O47">
        <v>75</v>
      </c>
    </row>
    <row r="48" spans="1:15" x14ac:dyDescent="0.25">
      <c r="A48" t="s">
        <v>15</v>
      </c>
      <c r="B48" t="s">
        <v>16</v>
      </c>
      <c r="C48">
        <v>5797728</v>
      </c>
      <c r="D48" t="s">
        <v>39</v>
      </c>
      <c r="E48">
        <v>7886002493</v>
      </c>
      <c r="F48" t="s">
        <v>18</v>
      </c>
      <c r="G48" t="s">
        <v>83</v>
      </c>
      <c r="H48">
        <v>1</v>
      </c>
      <c r="I48">
        <v>1</v>
      </c>
      <c r="J48">
        <v>0</v>
      </c>
      <c r="K48">
        <v>0.875</v>
      </c>
      <c r="L48">
        <v>0</v>
      </c>
      <c r="M48" t="s">
        <v>35</v>
      </c>
      <c r="N48">
        <v>1</v>
      </c>
      <c r="O48">
        <v>75</v>
      </c>
    </row>
    <row r="49" spans="1:15" x14ac:dyDescent="0.25">
      <c r="A49" t="s">
        <v>15</v>
      </c>
      <c r="B49" t="s">
        <v>16</v>
      </c>
      <c r="C49">
        <v>5797728</v>
      </c>
      <c r="D49" t="s">
        <v>39</v>
      </c>
      <c r="E49">
        <v>7886002721</v>
      </c>
      <c r="F49" t="s">
        <v>18</v>
      </c>
      <c r="G49" t="s">
        <v>84</v>
      </c>
      <c r="H49">
        <v>1</v>
      </c>
      <c r="I49">
        <v>1</v>
      </c>
      <c r="J49">
        <v>0</v>
      </c>
      <c r="K49">
        <v>0.9411764705882353</v>
      </c>
      <c r="L49">
        <v>0</v>
      </c>
      <c r="M49" t="s">
        <v>35</v>
      </c>
      <c r="N49">
        <v>1</v>
      </c>
      <c r="O49">
        <v>75</v>
      </c>
    </row>
    <row r="50" spans="1:15" x14ac:dyDescent="0.25">
      <c r="A50" t="s">
        <v>15</v>
      </c>
      <c r="B50" t="s">
        <v>16</v>
      </c>
      <c r="C50">
        <v>5797729</v>
      </c>
      <c r="D50" t="s">
        <v>85</v>
      </c>
      <c r="E50">
        <v>7886002500</v>
      </c>
      <c r="F50" t="s">
        <v>18</v>
      </c>
      <c r="G50" t="s">
        <v>86</v>
      </c>
      <c r="H50">
        <v>1</v>
      </c>
      <c r="I50">
        <v>1</v>
      </c>
      <c r="J50">
        <v>0</v>
      </c>
      <c r="K50">
        <v>1</v>
      </c>
      <c r="L50">
        <v>0</v>
      </c>
      <c r="M50" t="s">
        <v>35</v>
      </c>
      <c r="N50">
        <v>1</v>
      </c>
      <c r="O50">
        <v>75</v>
      </c>
    </row>
    <row r="51" spans="1:15" x14ac:dyDescent="0.25">
      <c r="A51" t="s">
        <v>15</v>
      </c>
      <c r="B51" t="s">
        <v>16</v>
      </c>
      <c r="C51">
        <v>5797729</v>
      </c>
      <c r="D51" t="s">
        <v>85</v>
      </c>
      <c r="E51">
        <v>7886002501</v>
      </c>
      <c r="F51" t="s">
        <v>18</v>
      </c>
      <c r="G51" t="s">
        <v>87</v>
      </c>
      <c r="H51">
        <v>1</v>
      </c>
      <c r="I51">
        <v>1</v>
      </c>
      <c r="J51">
        <v>0</v>
      </c>
      <c r="K51">
        <v>1</v>
      </c>
      <c r="L51">
        <v>0</v>
      </c>
      <c r="M51" t="s">
        <v>35</v>
      </c>
      <c r="N51">
        <v>1</v>
      </c>
      <c r="O51">
        <v>75</v>
      </c>
    </row>
    <row r="52" spans="1:15" x14ac:dyDescent="0.25">
      <c r="A52" t="s">
        <v>15</v>
      </c>
      <c r="B52" t="s">
        <v>16</v>
      </c>
      <c r="C52">
        <v>5797729</v>
      </c>
      <c r="D52" t="s">
        <v>85</v>
      </c>
      <c r="E52">
        <v>7886002502</v>
      </c>
      <c r="F52" t="s">
        <v>18</v>
      </c>
      <c r="G52" t="s">
        <v>88</v>
      </c>
      <c r="H52">
        <v>1</v>
      </c>
      <c r="I52">
        <v>1</v>
      </c>
      <c r="J52">
        <v>0</v>
      </c>
      <c r="K52">
        <v>1</v>
      </c>
      <c r="L52">
        <v>0</v>
      </c>
      <c r="M52" t="s">
        <v>35</v>
      </c>
      <c r="N52">
        <v>1</v>
      </c>
      <c r="O52">
        <v>75</v>
      </c>
    </row>
    <row r="53" spans="1:15" x14ac:dyDescent="0.25">
      <c r="A53" t="s">
        <v>15</v>
      </c>
      <c r="B53" t="s">
        <v>16</v>
      </c>
      <c r="C53">
        <v>5797729</v>
      </c>
      <c r="D53" t="s">
        <v>85</v>
      </c>
      <c r="E53">
        <v>7886002503</v>
      </c>
      <c r="F53" t="s">
        <v>18</v>
      </c>
      <c r="G53" t="s">
        <v>89</v>
      </c>
      <c r="H53">
        <v>1</v>
      </c>
      <c r="I53">
        <v>1</v>
      </c>
      <c r="J53">
        <v>0</v>
      </c>
      <c r="K53">
        <v>1</v>
      </c>
      <c r="L53">
        <v>0</v>
      </c>
      <c r="M53" t="s">
        <v>35</v>
      </c>
      <c r="N53">
        <v>1</v>
      </c>
      <c r="O53">
        <v>75</v>
      </c>
    </row>
    <row r="54" spans="1:15" x14ac:dyDescent="0.25">
      <c r="A54" t="s">
        <v>15</v>
      </c>
      <c r="B54" t="s">
        <v>16</v>
      </c>
      <c r="C54">
        <v>5997121</v>
      </c>
      <c r="D54" t="s">
        <v>90</v>
      </c>
      <c r="E54">
        <v>7886002616</v>
      </c>
      <c r="F54" t="s">
        <v>18</v>
      </c>
      <c r="G54" t="s">
        <v>34</v>
      </c>
      <c r="H54">
        <v>1</v>
      </c>
      <c r="I54">
        <v>1</v>
      </c>
      <c r="J54">
        <v>0</v>
      </c>
      <c r="K54">
        <v>1</v>
      </c>
      <c r="L54">
        <v>0</v>
      </c>
      <c r="M54" t="s">
        <v>35</v>
      </c>
      <c r="N54">
        <v>1</v>
      </c>
      <c r="O54">
        <v>75</v>
      </c>
    </row>
    <row r="55" spans="1:15" x14ac:dyDescent="0.25">
      <c r="A55" t="s">
        <v>15</v>
      </c>
      <c r="B55" t="s">
        <v>16</v>
      </c>
      <c r="C55">
        <v>8351903</v>
      </c>
      <c r="D55" t="s">
        <v>45</v>
      </c>
      <c r="E55">
        <v>7886000751</v>
      </c>
      <c r="F55" t="s">
        <v>75</v>
      </c>
      <c r="G55" t="s">
        <v>91</v>
      </c>
      <c r="H55">
        <v>1</v>
      </c>
      <c r="I55">
        <v>1</v>
      </c>
      <c r="J55">
        <v>0</v>
      </c>
      <c r="K55">
        <v>1</v>
      </c>
      <c r="L55">
        <v>0</v>
      </c>
      <c r="M55" t="s">
        <v>35</v>
      </c>
      <c r="N55">
        <v>1</v>
      </c>
      <c r="O55">
        <v>75</v>
      </c>
    </row>
    <row r="56" spans="1:15" x14ac:dyDescent="0.25">
      <c r="A56" t="s">
        <v>15</v>
      </c>
      <c r="B56" t="s">
        <v>16</v>
      </c>
      <c r="C56">
        <v>8351903</v>
      </c>
      <c r="D56" t="s">
        <v>45</v>
      </c>
      <c r="E56">
        <v>7886001214</v>
      </c>
      <c r="F56" t="s">
        <v>18</v>
      </c>
      <c r="G56" t="s">
        <v>34</v>
      </c>
      <c r="H56">
        <v>1</v>
      </c>
      <c r="I56">
        <v>1</v>
      </c>
      <c r="J56">
        <v>0</v>
      </c>
      <c r="K56">
        <v>1</v>
      </c>
      <c r="L56">
        <v>0</v>
      </c>
      <c r="M56" t="s">
        <v>35</v>
      </c>
      <c r="N56">
        <v>1</v>
      </c>
      <c r="O56">
        <v>75</v>
      </c>
    </row>
    <row r="57" spans="1:15" x14ac:dyDescent="0.25">
      <c r="A57" t="s">
        <v>15</v>
      </c>
      <c r="B57" t="s">
        <v>16</v>
      </c>
      <c r="C57">
        <v>8351903</v>
      </c>
      <c r="D57" t="s">
        <v>45</v>
      </c>
      <c r="E57">
        <v>7886001746</v>
      </c>
      <c r="F57" t="s">
        <v>18</v>
      </c>
      <c r="G57" t="s">
        <v>92</v>
      </c>
      <c r="H57">
        <v>1</v>
      </c>
      <c r="I57">
        <v>1</v>
      </c>
      <c r="J57">
        <v>0</v>
      </c>
      <c r="K57">
        <v>1</v>
      </c>
      <c r="L57">
        <v>0</v>
      </c>
      <c r="M57" t="s">
        <v>35</v>
      </c>
      <c r="N57">
        <v>1</v>
      </c>
      <c r="O57">
        <v>75</v>
      </c>
    </row>
    <row r="58" spans="1:15" x14ac:dyDescent="0.25">
      <c r="A58" t="s">
        <v>15</v>
      </c>
      <c r="B58" t="s">
        <v>16</v>
      </c>
      <c r="C58">
        <v>8351903</v>
      </c>
      <c r="D58" t="s">
        <v>45</v>
      </c>
      <c r="E58">
        <v>7886002084</v>
      </c>
      <c r="F58" t="s">
        <v>18</v>
      </c>
      <c r="G58" t="s">
        <v>93</v>
      </c>
      <c r="H58">
        <v>1</v>
      </c>
      <c r="I58">
        <v>1</v>
      </c>
      <c r="J58">
        <v>0</v>
      </c>
      <c r="K58">
        <v>0.972972972972973</v>
      </c>
      <c r="L58">
        <v>0</v>
      </c>
      <c r="M58" t="s">
        <v>35</v>
      </c>
      <c r="N58">
        <v>1</v>
      </c>
      <c r="O58">
        <v>75</v>
      </c>
    </row>
    <row r="59" spans="1:15" x14ac:dyDescent="0.25">
      <c r="A59" t="s">
        <v>15</v>
      </c>
      <c r="B59" t="s">
        <v>16</v>
      </c>
      <c r="C59">
        <v>8351903</v>
      </c>
      <c r="D59" t="s">
        <v>45</v>
      </c>
      <c r="E59">
        <v>7886002215</v>
      </c>
      <c r="F59" t="s">
        <v>18</v>
      </c>
      <c r="G59" t="s">
        <v>94</v>
      </c>
      <c r="H59">
        <v>1</v>
      </c>
      <c r="I59">
        <v>1</v>
      </c>
      <c r="J59">
        <v>0</v>
      </c>
      <c r="K59">
        <v>0.975</v>
      </c>
      <c r="L59">
        <v>0</v>
      </c>
      <c r="M59" t="s">
        <v>35</v>
      </c>
      <c r="N59">
        <v>1</v>
      </c>
      <c r="O59">
        <v>75</v>
      </c>
    </row>
    <row r="60" spans="1:15" x14ac:dyDescent="0.25">
      <c r="A60" t="s">
        <v>15</v>
      </c>
      <c r="B60" t="s">
        <v>16</v>
      </c>
      <c r="C60">
        <v>8351903</v>
      </c>
      <c r="D60" t="s">
        <v>45</v>
      </c>
      <c r="E60">
        <v>7886002754</v>
      </c>
      <c r="F60" t="s">
        <v>18</v>
      </c>
      <c r="G60" t="s">
        <v>34</v>
      </c>
      <c r="H60">
        <v>1</v>
      </c>
      <c r="I60">
        <v>1</v>
      </c>
      <c r="J60">
        <v>0</v>
      </c>
      <c r="K60">
        <v>0.9444444444444444</v>
      </c>
      <c r="L60">
        <v>0</v>
      </c>
      <c r="M60" t="s">
        <v>35</v>
      </c>
      <c r="N60">
        <v>1</v>
      </c>
      <c r="O60">
        <v>75</v>
      </c>
    </row>
    <row r="61" spans="1:15" x14ac:dyDescent="0.25">
      <c r="A61" t="s">
        <v>15</v>
      </c>
      <c r="B61" t="s">
        <v>16</v>
      </c>
      <c r="C61">
        <v>8351903</v>
      </c>
      <c r="D61" t="s">
        <v>45</v>
      </c>
      <c r="E61">
        <v>7886002762</v>
      </c>
      <c r="F61" t="s">
        <v>18</v>
      </c>
      <c r="G61" t="s">
        <v>95</v>
      </c>
      <c r="H61">
        <v>1</v>
      </c>
      <c r="I61">
        <v>1</v>
      </c>
      <c r="J61">
        <v>0</v>
      </c>
      <c r="K61">
        <v>1</v>
      </c>
      <c r="L61">
        <v>0</v>
      </c>
      <c r="M61" t="s">
        <v>35</v>
      </c>
      <c r="N61">
        <v>1</v>
      </c>
      <c r="O61">
        <v>75</v>
      </c>
    </row>
    <row r="62" spans="1:15" x14ac:dyDescent="0.25">
      <c r="A62" t="s">
        <v>15</v>
      </c>
      <c r="B62" t="s">
        <v>16</v>
      </c>
      <c r="C62">
        <v>8351903</v>
      </c>
      <c r="D62" t="s">
        <v>45</v>
      </c>
      <c r="E62">
        <v>7886002764</v>
      </c>
      <c r="F62" t="s">
        <v>18</v>
      </c>
      <c r="G62" t="s">
        <v>34</v>
      </c>
      <c r="H62">
        <v>1</v>
      </c>
      <c r="I62">
        <v>1</v>
      </c>
      <c r="J62">
        <v>0</v>
      </c>
      <c r="K62">
        <v>0</v>
      </c>
      <c r="L62">
        <v>0.07692307692308</v>
      </c>
      <c r="M62" t="s">
        <v>35</v>
      </c>
      <c r="N62">
        <v>1</v>
      </c>
      <c r="O62">
        <v>75</v>
      </c>
    </row>
    <row r="63" spans="1:15" x14ac:dyDescent="0.25">
      <c r="A63" t="s">
        <v>15</v>
      </c>
      <c r="B63" t="s">
        <v>16</v>
      </c>
      <c r="C63">
        <v>8351903</v>
      </c>
      <c r="D63" t="s">
        <v>45</v>
      </c>
      <c r="E63">
        <v>7886002765</v>
      </c>
      <c r="F63" t="s">
        <v>18</v>
      </c>
      <c r="G63" t="s">
        <v>34</v>
      </c>
      <c r="H63">
        <v>1</v>
      </c>
      <c r="I63">
        <v>1</v>
      </c>
      <c r="J63">
        <v>0</v>
      </c>
      <c r="K63">
        <v>0</v>
      </c>
      <c r="L63">
        <v>0.11111111111111</v>
      </c>
      <c r="M63" t="s">
        <v>35</v>
      </c>
      <c r="N63">
        <v>1</v>
      </c>
      <c r="O63">
        <v>75</v>
      </c>
    </row>
    <row r="64" spans="1:15" x14ac:dyDescent="0.25">
      <c r="A64" t="s">
        <v>15</v>
      </c>
      <c r="B64" t="s">
        <v>16</v>
      </c>
      <c r="C64">
        <v>8351903</v>
      </c>
      <c r="D64" t="s">
        <v>45</v>
      </c>
      <c r="E64">
        <v>7886002787</v>
      </c>
      <c r="F64" t="s">
        <v>18</v>
      </c>
      <c r="G64" t="s">
        <v>34</v>
      </c>
      <c r="H64">
        <v>1</v>
      </c>
      <c r="I64">
        <v>1</v>
      </c>
      <c r="J64">
        <v>0</v>
      </c>
      <c r="K64">
        <v>0.9473684210526315</v>
      </c>
      <c r="L64">
        <v>0</v>
      </c>
      <c r="M64" t="s">
        <v>35</v>
      </c>
      <c r="N64">
        <v>1</v>
      </c>
      <c r="O64">
        <v>75</v>
      </c>
    </row>
    <row r="65" spans="1:15" x14ac:dyDescent="0.25">
      <c r="A65" t="s">
        <v>15</v>
      </c>
      <c r="B65" t="s">
        <v>16</v>
      </c>
      <c r="C65">
        <v>8351903</v>
      </c>
      <c r="D65" t="s">
        <v>45</v>
      </c>
      <c r="E65">
        <v>7886002788</v>
      </c>
      <c r="F65" t="s">
        <v>18</v>
      </c>
      <c r="G65" t="s">
        <v>34</v>
      </c>
      <c r="H65">
        <v>1</v>
      </c>
      <c r="I65">
        <v>1</v>
      </c>
      <c r="J65">
        <v>0</v>
      </c>
      <c r="K65">
        <v>0.9411764705882353</v>
      </c>
      <c r="L65">
        <v>0</v>
      </c>
      <c r="M65" t="s">
        <v>35</v>
      </c>
      <c r="N65">
        <v>1</v>
      </c>
      <c r="O65">
        <v>75</v>
      </c>
    </row>
    <row r="66" spans="1:15" x14ac:dyDescent="0.25">
      <c r="A66" t="s">
        <v>15</v>
      </c>
      <c r="B66" t="s">
        <v>16</v>
      </c>
      <c r="C66">
        <v>8351903</v>
      </c>
      <c r="D66" t="s">
        <v>45</v>
      </c>
      <c r="E66">
        <v>7886002800</v>
      </c>
      <c r="F66" t="s">
        <v>18</v>
      </c>
      <c r="G66" t="s">
        <v>34</v>
      </c>
      <c r="H66">
        <v>1</v>
      </c>
      <c r="I66">
        <v>1</v>
      </c>
      <c r="J66">
        <v>0</v>
      </c>
      <c r="K66">
        <v>1</v>
      </c>
      <c r="L66">
        <v>0</v>
      </c>
      <c r="M66" t="s">
        <v>35</v>
      </c>
      <c r="N66">
        <v>1</v>
      </c>
      <c r="O66">
        <v>75</v>
      </c>
    </row>
    <row r="67" spans="1:15" x14ac:dyDescent="0.25">
      <c r="A67" t="s">
        <v>15</v>
      </c>
      <c r="B67" t="s">
        <v>16</v>
      </c>
      <c r="C67">
        <v>8396105</v>
      </c>
      <c r="D67" t="s">
        <v>26</v>
      </c>
      <c r="E67">
        <v>7886000561</v>
      </c>
      <c r="F67" t="s">
        <v>18</v>
      </c>
      <c r="G67" t="s">
        <v>96</v>
      </c>
      <c r="H67">
        <v>1</v>
      </c>
      <c r="I67">
        <v>1</v>
      </c>
      <c r="J67">
        <v>0</v>
      </c>
      <c r="K67">
        <v>1</v>
      </c>
      <c r="L67">
        <v>0</v>
      </c>
      <c r="M67" t="s">
        <v>35</v>
      </c>
      <c r="N67">
        <v>1</v>
      </c>
      <c r="O67">
        <v>75</v>
      </c>
    </row>
    <row r="68" spans="1:15" x14ac:dyDescent="0.25">
      <c r="A68" t="s">
        <v>15</v>
      </c>
      <c r="B68" t="s">
        <v>16</v>
      </c>
      <c r="C68">
        <v>8398383</v>
      </c>
      <c r="D68" t="s">
        <v>97</v>
      </c>
      <c r="E68">
        <v>7886000632</v>
      </c>
      <c r="F68" t="s">
        <v>18</v>
      </c>
      <c r="G68" t="s">
        <v>98</v>
      </c>
      <c r="H68">
        <v>1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  <c r="O68">
        <v>75</v>
      </c>
    </row>
    <row r="69" spans="1:15" x14ac:dyDescent="0.25">
      <c r="A69" t="s">
        <v>15</v>
      </c>
      <c r="B69" t="s">
        <v>16</v>
      </c>
      <c r="C69">
        <v>8398383</v>
      </c>
      <c r="D69" t="s">
        <v>97</v>
      </c>
      <c r="E69">
        <v>7886002812</v>
      </c>
      <c r="F69" t="s">
        <v>18</v>
      </c>
      <c r="G69" t="s">
        <v>34</v>
      </c>
      <c r="H69">
        <v>1</v>
      </c>
      <c r="I69">
        <v>1</v>
      </c>
      <c r="J69">
        <v>0</v>
      </c>
      <c r="K69">
        <v>0</v>
      </c>
      <c r="L69">
        <v>0</v>
      </c>
      <c r="M69" t="s">
        <v>35</v>
      </c>
      <c r="N69">
        <v>1</v>
      </c>
      <c r="O69">
        <v>75</v>
      </c>
    </row>
    <row r="70" spans="1:15" x14ac:dyDescent="0.25">
      <c r="A70" t="s">
        <v>15</v>
      </c>
      <c r="B70" t="s">
        <v>16</v>
      </c>
      <c r="C70">
        <v>9203497</v>
      </c>
      <c r="D70" t="s">
        <v>41</v>
      </c>
      <c r="E70">
        <v>7886002273</v>
      </c>
      <c r="F70" t="s">
        <v>18</v>
      </c>
      <c r="G70" t="s">
        <v>99</v>
      </c>
      <c r="H70">
        <v>1</v>
      </c>
      <c r="I70">
        <v>1</v>
      </c>
      <c r="J70">
        <v>0</v>
      </c>
      <c r="K70">
        <v>0</v>
      </c>
      <c r="L70">
        <v>0</v>
      </c>
      <c r="M70" t="s">
        <v>35</v>
      </c>
      <c r="N70">
        <v>1</v>
      </c>
      <c r="O70">
        <v>75</v>
      </c>
    </row>
    <row r="71" spans="1:15" x14ac:dyDescent="0.25">
      <c r="A71" t="s">
        <v>15</v>
      </c>
      <c r="B71" t="s">
        <v>16</v>
      </c>
      <c r="C71">
        <v>9203497</v>
      </c>
      <c r="D71" t="s">
        <v>41</v>
      </c>
      <c r="E71">
        <v>7886002439</v>
      </c>
      <c r="F71" t="s">
        <v>18</v>
      </c>
      <c r="G71" t="s">
        <v>100</v>
      </c>
      <c r="H71">
        <v>1</v>
      </c>
      <c r="I71">
        <v>0</v>
      </c>
      <c r="J71">
        <v>0</v>
      </c>
      <c r="K71">
        <v>0.864406779661017</v>
      </c>
      <c r="L71">
        <v>0.01515151515152</v>
      </c>
      <c r="M71" t="s">
        <v>35</v>
      </c>
      <c r="N71">
        <v>1</v>
      </c>
      <c r="O71">
        <v>75</v>
      </c>
    </row>
    <row r="72" spans="1:15" x14ac:dyDescent="0.25">
      <c r="A72" t="s">
        <v>15</v>
      </c>
      <c r="B72" t="s">
        <v>16</v>
      </c>
      <c r="C72">
        <v>9203497</v>
      </c>
      <c r="D72" t="s">
        <v>41</v>
      </c>
      <c r="E72">
        <v>7886002452</v>
      </c>
      <c r="F72" t="s">
        <v>18</v>
      </c>
      <c r="G72" t="s">
        <v>34</v>
      </c>
      <c r="H72">
        <v>1</v>
      </c>
      <c r="I72">
        <v>0</v>
      </c>
      <c r="J72">
        <v>0</v>
      </c>
      <c r="K72">
        <v>1</v>
      </c>
      <c r="L72">
        <v>0.16666666666667</v>
      </c>
      <c r="M72" t="s">
        <v>35</v>
      </c>
      <c r="N72">
        <v>1</v>
      </c>
      <c r="O72">
        <v>75</v>
      </c>
    </row>
    <row r="73" spans="1:15" x14ac:dyDescent="0.25">
      <c r="A73" t="s">
        <v>15</v>
      </c>
      <c r="B73" t="s">
        <v>16</v>
      </c>
      <c r="C73">
        <v>9203497</v>
      </c>
      <c r="D73" t="s">
        <v>41</v>
      </c>
      <c r="E73">
        <v>7886002682</v>
      </c>
      <c r="F73" t="s">
        <v>18</v>
      </c>
      <c r="G73" t="s">
        <v>34</v>
      </c>
      <c r="H73">
        <v>1</v>
      </c>
      <c r="I73">
        <v>0</v>
      </c>
      <c r="J73">
        <v>0</v>
      </c>
      <c r="K73">
        <v>1</v>
      </c>
      <c r="L73">
        <v>0.4</v>
      </c>
      <c r="M73" t="s">
        <v>35</v>
      </c>
      <c r="N73">
        <v>1</v>
      </c>
      <c r="O73">
        <v>75</v>
      </c>
    </row>
    <row r="74" spans="1:15" x14ac:dyDescent="0.25">
      <c r="A74" t="s">
        <v>15</v>
      </c>
      <c r="B74" t="s">
        <v>16</v>
      </c>
      <c r="C74">
        <v>9203499</v>
      </c>
      <c r="D74" t="s">
        <v>28</v>
      </c>
      <c r="E74">
        <v>7886001399</v>
      </c>
      <c r="F74" t="s">
        <v>18</v>
      </c>
      <c r="G74" t="s">
        <v>101</v>
      </c>
      <c r="H74">
        <v>1</v>
      </c>
      <c r="I74">
        <v>1</v>
      </c>
      <c r="J74">
        <v>1</v>
      </c>
      <c r="K74">
        <v>0</v>
      </c>
      <c r="L74">
        <v>0</v>
      </c>
      <c r="M74">
        <v>0</v>
      </c>
      <c r="N74">
        <v>1</v>
      </c>
      <c r="O74">
        <v>75</v>
      </c>
    </row>
    <row r="75" spans="1:15" x14ac:dyDescent="0.25">
      <c r="A75" t="s">
        <v>15</v>
      </c>
      <c r="B75" t="s">
        <v>16</v>
      </c>
      <c r="C75">
        <v>9203499</v>
      </c>
      <c r="D75" t="s">
        <v>28</v>
      </c>
      <c r="E75">
        <v>7886002641</v>
      </c>
      <c r="F75" t="s">
        <v>18</v>
      </c>
      <c r="G75" t="s">
        <v>102</v>
      </c>
      <c r="H75">
        <v>1</v>
      </c>
      <c r="I75">
        <v>1</v>
      </c>
      <c r="J75">
        <v>0</v>
      </c>
      <c r="K75">
        <v>0</v>
      </c>
      <c r="L75">
        <v>0.05714285714286</v>
      </c>
      <c r="M75" t="s">
        <v>35</v>
      </c>
      <c r="N75">
        <v>1</v>
      </c>
      <c r="O75">
        <v>75</v>
      </c>
    </row>
    <row r="76" spans="1:15" x14ac:dyDescent="0.25">
      <c r="A76" t="s">
        <v>15</v>
      </c>
      <c r="B76" t="s">
        <v>16</v>
      </c>
      <c r="C76">
        <v>9203499</v>
      </c>
      <c r="D76" t="s">
        <v>28</v>
      </c>
      <c r="E76">
        <v>7886002642</v>
      </c>
      <c r="F76" t="s">
        <v>18</v>
      </c>
      <c r="G76" t="s">
        <v>34</v>
      </c>
      <c r="H76">
        <v>1</v>
      </c>
      <c r="I76">
        <v>1</v>
      </c>
      <c r="J76">
        <v>0</v>
      </c>
      <c r="K76">
        <v>0</v>
      </c>
      <c r="L76">
        <v>0</v>
      </c>
      <c r="M76" t="s">
        <v>35</v>
      </c>
      <c r="N76">
        <v>1</v>
      </c>
      <c r="O76">
        <v>75</v>
      </c>
    </row>
    <row r="77" spans="1:15" x14ac:dyDescent="0.25">
      <c r="A77" t="s">
        <v>15</v>
      </c>
      <c r="B77" t="s">
        <v>16</v>
      </c>
      <c r="C77">
        <v>9203499</v>
      </c>
      <c r="D77" t="s">
        <v>28</v>
      </c>
      <c r="E77">
        <v>7886002681</v>
      </c>
      <c r="F77" t="s">
        <v>18</v>
      </c>
      <c r="G77" t="s">
        <v>34</v>
      </c>
      <c r="H77">
        <v>1</v>
      </c>
      <c r="I77">
        <v>1</v>
      </c>
      <c r="J77">
        <v>0</v>
      </c>
      <c r="K77">
        <v>1</v>
      </c>
      <c r="L77">
        <v>0</v>
      </c>
      <c r="M77" t="s">
        <v>35</v>
      </c>
      <c r="N77">
        <v>1</v>
      </c>
      <c r="O77">
        <v>75</v>
      </c>
    </row>
    <row r="78" spans="1:15" x14ac:dyDescent="0.25">
      <c r="A78" t="s">
        <v>15</v>
      </c>
      <c r="B78" t="s">
        <v>16</v>
      </c>
      <c r="C78">
        <v>9203499</v>
      </c>
      <c r="D78" t="s">
        <v>28</v>
      </c>
      <c r="E78">
        <v>7886002795</v>
      </c>
      <c r="F78" t="s">
        <v>18</v>
      </c>
      <c r="G78" t="s">
        <v>103</v>
      </c>
      <c r="H78">
        <v>1</v>
      </c>
      <c r="I78">
        <v>1</v>
      </c>
      <c r="J78">
        <v>0</v>
      </c>
      <c r="K78">
        <v>0</v>
      </c>
      <c r="L78">
        <v>0.025</v>
      </c>
      <c r="M78" t="s">
        <v>35</v>
      </c>
      <c r="N78">
        <v>1</v>
      </c>
      <c r="O78">
        <v>75</v>
      </c>
    </row>
    <row r="79" spans="1:15" x14ac:dyDescent="0.25">
      <c r="A79" t="s">
        <v>15</v>
      </c>
      <c r="B79" t="s">
        <v>16</v>
      </c>
      <c r="C79">
        <v>9203499</v>
      </c>
      <c r="D79" t="s">
        <v>28</v>
      </c>
      <c r="E79">
        <v>7886002842</v>
      </c>
      <c r="F79" t="s">
        <v>18</v>
      </c>
      <c r="G79" t="s">
        <v>34</v>
      </c>
      <c r="H79">
        <v>1</v>
      </c>
      <c r="I79">
        <v>1</v>
      </c>
      <c r="J79">
        <v>0</v>
      </c>
      <c r="K79">
        <v>0</v>
      </c>
      <c r="L79">
        <v>0.075</v>
      </c>
      <c r="M79" t="s">
        <v>35</v>
      </c>
      <c r="N79">
        <v>1</v>
      </c>
      <c r="O79">
        <v>75</v>
      </c>
    </row>
    <row r="80" spans="1:15" x14ac:dyDescent="0.25">
      <c r="A80" t="s">
        <v>15</v>
      </c>
      <c r="B80" t="s">
        <v>16</v>
      </c>
      <c r="C80">
        <v>9203501</v>
      </c>
      <c r="D80" t="s">
        <v>43</v>
      </c>
      <c r="E80">
        <v>7886002564</v>
      </c>
      <c r="F80" t="s">
        <v>18</v>
      </c>
      <c r="G80" t="s">
        <v>104</v>
      </c>
      <c r="H80">
        <v>1</v>
      </c>
      <c r="I80">
        <v>0</v>
      </c>
      <c r="J80">
        <v>0</v>
      </c>
      <c r="K80">
        <v>1</v>
      </c>
      <c r="L80">
        <v>0</v>
      </c>
      <c r="M80">
        <v>0</v>
      </c>
      <c r="N80">
        <v>1</v>
      </c>
      <c r="O80">
        <v>75</v>
      </c>
    </row>
    <row r="81" spans="1:15" x14ac:dyDescent="0.25">
      <c r="A81" t="s">
        <v>15</v>
      </c>
      <c r="B81" t="s">
        <v>16</v>
      </c>
      <c r="C81">
        <v>9372701</v>
      </c>
      <c r="D81" t="s">
        <v>53</v>
      </c>
      <c r="E81">
        <v>7886000378</v>
      </c>
      <c r="F81" t="s">
        <v>24</v>
      </c>
      <c r="G81" t="s">
        <v>105</v>
      </c>
      <c r="H81">
        <v>1</v>
      </c>
      <c r="I81">
        <v>1</v>
      </c>
      <c r="J81">
        <v>0</v>
      </c>
      <c r="K81">
        <v>1</v>
      </c>
      <c r="L81">
        <v>0</v>
      </c>
      <c r="M81" t="s">
        <v>35</v>
      </c>
      <c r="N81">
        <v>1</v>
      </c>
      <c r="O81">
        <v>75</v>
      </c>
    </row>
    <row r="82" spans="1:15" x14ac:dyDescent="0.25">
      <c r="A82" t="s">
        <v>15</v>
      </c>
      <c r="B82" t="s">
        <v>16</v>
      </c>
      <c r="C82">
        <v>9372701</v>
      </c>
      <c r="D82" t="s">
        <v>53</v>
      </c>
      <c r="E82">
        <v>7886000657</v>
      </c>
      <c r="F82" t="s">
        <v>24</v>
      </c>
      <c r="G82" t="s">
        <v>106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1</v>
      </c>
      <c r="O82">
        <v>75</v>
      </c>
    </row>
    <row r="83" spans="1:15" x14ac:dyDescent="0.25">
      <c r="A83" t="s">
        <v>15</v>
      </c>
      <c r="B83" t="s">
        <v>16</v>
      </c>
      <c r="C83">
        <v>9372701</v>
      </c>
      <c r="D83" t="s">
        <v>53</v>
      </c>
      <c r="E83">
        <v>7886002672</v>
      </c>
      <c r="F83" t="s">
        <v>24</v>
      </c>
      <c r="G83" t="s">
        <v>107</v>
      </c>
      <c r="H83">
        <v>1</v>
      </c>
      <c r="I83">
        <v>1</v>
      </c>
      <c r="J83">
        <v>0</v>
      </c>
      <c r="K83">
        <v>1</v>
      </c>
      <c r="L83">
        <v>0</v>
      </c>
      <c r="M83" t="s">
        <v>35</v>
      </c>
      <c r="N83">
        <v>1</v>
      </c>
      <c r="O83">
        <v>75</v>
      </c>
    </row>
    <row r="84" spans="1:15" x14ac:dyDescent="0.25">
      <c r="A84" t="s">
        <v>15</v>
      </c>
      <c r="B84" t="s">
        <v>16</v>
      </c>
      <c r="C84">
        <v>5189455</v>
      </c>
      <c r="D84" t="s">
        <v>108</v>
      </c>
      <c r="E84">
        <v>7886002436</v>
      </c>
      <c r="F84" t="s">
        <v>18</v>
      </c>
      <c r="G84" t="s">
        <v>109</v>
      </c>
      <c r="H84">
        <v>1</v>
      </c>
      <c r="I84">
        <v>0</v>
      </c>
      <c r="J84">
        <v>0</v>
      </c>
      <c r="K84">
        <v>0.8354430379746836</v>
      </c>
      <c r="L84">
        <v>0.05084745762712</v>
      </c>
      <c r="M84">
        <v>0</v>
      </c>
      <c r="N84">
        <v>1</v>
      </c>
      <c r="O84">
        <v>74.74311243484736</v>
      </c>
    </row>
    <row r="85" spans="1:15" x14ac:dyDescent="0.25">
      <c r="A85" t="s">
        <v>15</v>
      </c>
      <c r="B85" t="s">
        <v>16</v>
      </c>
      <c r="C85">
        <v>9203499</v>
      </c>
      <c r="D85" t="s">
        <v>28</v>
      </c>
      <c r="E85">
        <v>7886002657</v>
      </c>
      <c r="F85" t="s">
        <v>18</v>
      </c>
      <c r="G85" t="s">
        <v>34</v>
      </c>
      <c r="H85">
        <v>1</v>
      </c>
      <c r="I85">
        <v>1</v>
      </c>
      <c r="J85">
        <v>0</v>
      </c>
      <c r="K85">
        <v>0.8181818181818182</v>
      </c>
      <c r="L85">
        <v>0</v>
      </c>
      <c r="M85" t="s">
        <v>35</v>
      </c>
      <c r="N85">
        <v>1</v>
      </c>
      <c r="O85">
        <v>74.43850267379679</v>
      </c>
    </row>
    <row r="86" spans="1:15" x14ac:dyDescent="0.25">
      <c r="A86" t="s">
        <v>15</v>
      </c>
      <c r="B86" t="s">
        <v>16</v>
      </c>
      <c r="C86">
        <v>5797728</v>
      </c>
      <c r="D86" t="s">
        <v>39</v>
      </c>
      <c r="E86">
        <v>7886002485</v>
      </c>
      <c r="F86" t="s">
        <v>18</v>
      </c>
      <c r="G86" t="s">
        <v>110</v>
      </c>
      <c r="H86">
        <v>1</v>
      </c>
      <c r="I86">
        <v>1</v>
      </c>
      <c r="J86">
        <v>0</v>
      </c>
      <c r="K86">
        <v>0.8</v>
      </c>
      <c r="L86">
        <v>0</v>
      </c>
      <c r="M86" t="s">
        <v>35</v>
      </c>
      <c r="N86">
        <v>1</v>
      </c>
      <c r="O86">
        <v>74.11764705882354</v>
      </c>
    </row>
    <row r="87" spans="1:15" x14ac:dyDescent="0.25">
      <c r="A87" t="s">
        <v>15</v>
      </c>
      <c r="B87" t="s">
        <v>16</v>
      </c>
      <c r="C87">
        <v>2451952</v>
      </c>
      <c r="D87" t="s">
        <v>111</v>
      </c>
      <c r="E87">
        <v>7886002310</v>
      </c>
      <c r="F87" t="s">
        <v>18</v>
      </c>
      <c r="G87" t="s">
        <v>112</v>
      </c>
      <c r="H87">
        <v>1</v>
      </c>
      <c r="I87">
        <v>0</v>
      </c>
      <c r="J87">
        <v>0</v>
      </c>
      <c r="K87">
        <v>0.75</v>
      </c>
      <c r="L87">
        <v>0</v>
      </c>
      <c r="M87" t="s">
        <v>35</v>
      </c>
      <c r="N87">
        <v>1</v>
      </c>
      <c r="O87">
        <v>73.23529411764706</v>
      </c>
    </row>
    <row r="88" spans="1:15" x14ac:dyDescent="0.25">
      <c r="A88" t="s">
        <v>15</v>
      </c>
      <c r="B88" t="s">
        <v>16</v>
      </c>
      <c r="C88">
        <v>5797728</v>
      </c>
      <c r="D88" t="s">
        <v>39</v>
      </c>
      <c r="E88">
        <v>7886002484</v>
      </c>
      <c r="F88" t="s">
        <v>18</v>
      </c>
      <c r="G88" t="s">
        <v>113</v>
      </c>
      <c r="H88">
        <v>1</v>
      </c>
      <c r="I88">
        <v>1</v>
      </c>
      <c r="J88">
        <v>0</v>
      </c>
      <c r="K88">
        <v>0.7291666666666666</v>
      </c>
      <c r="L88">
        <v>0</v>
      </c>
      <c r="M88" t="s">
        <v>35</v>
      </c>
      <c r="N88">
        <v>1</v>
      </c>
      <c r="O88">
        <v>72.86764705882354</v>
      </c>
    </row>
    <row r="89" spans="1:15" x14ac:dyDescent="0.25">
      <c r="A89" t="s">
        <v>15</v>
      </c>
      <c r="B89" t="s">
        <v>16</v>
      </c>
      <c r="C89">
        <v>4162738</v>
      </c>
      <c r="D89" t="s">
        <v>57</v>
      </c>
      <c r="E89">
        <v>7886002234</v>
      </c>
      <c r="F89" t="s">
        <v>18</v>
      </c>
      <c r="G89" t="s">
        <v>114</v>
      </c>
      <c r="H89">
        <v>1</v>
      </c>
      <c r="I89">
        <v>1</v>
      </c>
      <c r="J89">
        <v>0</v>
      </c>
      <c r="K89">
        <v>0.6</v>
      </c>
      <c r="L89">
        <v>0</v>
      </c>
      <c r="M89" t="s">
        <v>35</v>
      </c>
      <c r="N89">
        <v>1</v>
      </c>
      <c r="O89">
        <v>70.58823529411765</v>
      </c>
    </row>
    <row r="90" spans="1:15" x14ac:dyDescent="0.25">
      <c r="A90" t="s">
        <v>15</v>
      </c>
      <c r="B90" t="s">
        <v>16</v>
      </c>
      <c r="C90">
        <v>4969685</v>
      </c>
      <c r="D90" t="s">
        <v>20</v>
      </c>
      <c r="E90">
        <v>7886002772</v>
      </c>
      <c r="F90" t="s">
        <v>18</v>
      </c>
      <c r="G90" t="s">
        <v>115</v>
      </c>
      <c r="H90">
        <v>1</v>
      </c>
      <c r="I90">
        <v>0</v>
      </c>
      <c r="J90">
        <v>0</v>
      </c>
      <c r="K90">
        <v>1</v>
      </c>
      <c r="L90">
        <v>0</v>
      </c>
      <c r="M90">
        <v>0.5</v>
      </c>
      <c r="N90">
        <v>1</v>
      </c>
      <c r="O90">
        <v>70</v>
      </c>
    </row>
    <row r="91" spans="1:15" x14ac:dyDescent="0.25">
      <c r="A91" t="s">
        <v>15</v>
      </c>
      <c r="B91" t="s">
        <v>16</v>
      </c>
      <c r="C91">
        <v>4970875</v>
      </c>
      <c r="D91" t="s">
        <v>36</v>
      </c>
      <c r="E91">
        <v>7886002677</v>
      </c>
      <c r="F91" t="s">
        <v>18</v>
      </c>
      <c r="G91" t="s">
        <v>116</v>
      </c>
      <c r="H91">
        <v>1</v>
      </c>
      <c r="I91">
        <v>1</v>
      </c>
      <c r="J91">
        <v>0</v>
      </c>
      <c r="K91">
        <v>0.5</v>
      </c>
      <c r="L91">
        <v>0</v>
      </c>
      <c r="M91" t="s">
        <v>35</v>
      </c>
      <c r="N91">
        <v>1</v>
      </c>
      <c r="O91">
        <v>68.82352941176471</v>
      </c>
    </row>
    <row r="92" spans="1:15" x14ac:dyDescent="0.25">
      <c r="A92" t="s">
        <v>15</v>
      </c>
      <c r="B92" t="s">
        <v>16</v>
      </c>
      <c r="C92">
        <v>1390788</v>
      </c>
      <c r="D92" t="s">
        <v>47</v>
      </c>
      <c r="E92">
        <v>7886002272</v>
      </c>
      <c r="F92" t="s">
        <v>18</v>
      </c>
      <c r="G92" t="s">
        <v>117</v>
      </c>
      <c r="H92">
        <v>0</v>
      </c>
      <c r="I92">
        <v>1</v>
      </c>
      <c r="J92">
        <v>0</v>
      </c>
      <c r="K92">
        <v>0</v>
      </c>
      <c r="L92">
        <v>0.16</v>
      </c>
      <c r="M92">
        <v>1</v>
      </c>
      <c r="N92">
        <v>1</v>
      </c>
      <c r="O92">
        <v>60</v>
      </c>
    </row>
    <row r="93" spans="1:15" x14ac:dyDescent="0.25">
      <c r="A93" t="s">
        <v>15</v>
      </c>
      <c r="B93" t="s">
        <v>16</v>
      </c>
      <c r="C93">
        <v>2226596</v>
      </c>
      <c r="D93" t="s">
        <v>63</v>
      </c>
      <c r="E93">
        <v>7886001633</v>
      </c>
      <c r="F93" t="s">
        <v>18</v>
      </c>
      <c r="G93" t="s">
        <v>118</v>
      </c>
      <c r="H93">
        <v>1</v>
      </c>
      <c r="I93">
        <v>1</v>
      </c>
      <c r="J93">
        <v>0</v>
      </c>
      <c r="K93">
        <v>0</v>
      </c>
      <c r="L93">
        <v>0</v>
      </c>
      <c r="M93" t="s">
        <v>35</v>
      </c>
      <c r="N93">
        <v>1</v>
      </c>
      <c r="O93">
        <v>60</v>
      </c>
    </row>
    <row r="94" spans="1:15" x14ac:dyDescent="0.25">
      <c r="A94" t="s">
        <v>15</v>
      </c>
      <c r="B94" t="s">
        <v>16</v>
      </c>
      <c r="C94">
        <v>3489862</v>
      </c>
      <c r="D94" t="s">
        <v>67</v>
      </c>
      <c r="E94">
        <v>7886000439</v>
      </c>
      <c r="F94" t="s">
        <v>18</v>
      </c>
      <c r="G94" t="s">
        <v>119</v>
      </c>
      <c r="H94">
        <v>0</v>
      </c>
      <c r="I94">
        <v>1</v>
      </c>
      <c r="J94">
        <v>0</v>
      </c>
      <c r="K94">
        <v>0</v>
      </c>
      <c r="L94">
        <v>0.06818181818182</v>
      </c>
      <c r="M94">
        <v>1</v>
      </c>
      <c r="N94">
        <v>1</v>
      </c>
      <c r="O94">
        <v>60</v>
      </c>
    </row>
    <row r="95" spans="1:15" x14ac:dyDescent="0.25">
      <c r="A95" t="s">
        <v>15</v>
      </c>
      <c r="B95" t="s">
        <v>16</v>
      </c>
      <c r="C95">
        <v>3489862</v>
      </c>
      <c r="D95" t="s">
        <v>67</v>
      </c>
      <c r="E95">
        <v>7886000482</v>
      </c>
      <c r="F95" t="s">
        <v>18</v>
      </c>
      <c r="G95" t="s">
        <v>34</v>
      </c>
      <c r="H95">
        <v>1</v>
      </c>
      <c r="I95">
        <v>0</v>
      </c>
      <c r="J95">
        <v>0</v>
      </c>
      <c r="K95">
        <v>0</v>
      </c>
      <c r="L95">
        <v>0</v>
      </c>
      <c r="M95" t="s">
        <v>35</v>
      </c>
      <c r="N95">
        <v>1</v>
      </c>
      <c r="O95">
        <v>60</v>
      </c>
    </row>
    <row r="96" spans="1:15" x14ac:dyDescent="0.25">
      <c r="A96" t="s">
        <v>15</v>
      </c>
      <c r="B96" t="s">
        <v>16</v>
      </c>
      <c r="C96">
        <v>5797725</v>
      </c>
      <c r="D96" t="s">
        <v>72</v>
      </c>
      <c r="E96">
        <v>7886002542</v>
      </c>
      <c r="F96" t="s">
        <v>18</v>
      </c>
      <c r="G96" t="s">
        <v>34</v>
      </c>
      <c r="H96">
        <v>1</v>
      </c>
      <c r="I96">
        <v>0</v>
      </c>
      <c r="J96">
        <v>0</v>
      </c>
      <c r="K96">
        <v>1</v>
      </c>
      <c r="L96">
        <v>0</v>
      </c>
      <c r="M96" t="s">
        <v>35</v>
      </c>
      <c r="N96">
        <v>1</v>
      </c>
      <c r="O96">
        <v>60</v>
      </c>
    </row>
    <row r="97" spans="1:15" x14ac:dyDescent="0.25">
      <c r="A97" t="s">
        <v>15</v>
      </c>
      <c r="B97" t="s">
        <v>16</v>
      </c>
      <c r="C97">
        <v>5797728</v>
      </c>
      <c r="D97" t="s">
        <v>39</v>
      </c>
      <c r="E97">
        <v>7886002486</v>
      </c>
      <c r="F97" t="s">
        <v>75</v>
      </c>
      <c r="G97" t="s">
        <v>120</v>
      </c>
      <c r="H97">
        <v>1</v>
      </c>
      <c r="I97">
        <v>1</v>
      </c>
      <c r="J97">
        <v>0</v>
      </c>
      <c r="K97">
        <v>0</v>
      </c>
      <c r="L97">
        <v>0</v>
      </c>
      <c r="M97" t="s">
        <v>35</v>
      </c>
      <c r="N97">
        <v>1</v>
      </c>
      <c r="O97">
        <v>60</v>
      </c>
    </row>
    <row r="98" spans="1:15" x14ac:dyDescent="0.25">
      <c r="A98" t="s">
        <v>15</v>
      </c>
      <c r="B98" t="s">
        <v>16</v>
      </c>
      <c r="C98">
        <v>5797729</v>
      </c>
      <c r="D98" t="s">
        <v>85</v>
      </c>
      <c r="E98">
        <v>7886002504</v>
      </c>
      <c r="F98" t="s">
        <v>75</v>
      </c>
      <c r="G98" t="s">
        <v>121</v>
      </c>
      <c r="H98">
        <v>1</v>
      </c>
      <c r="I98">
        <v>0</v>
      </c>
      <c r="J98">
        <v>0</v>
      </c>
      <c r="K98">
        <v>1</v>
      </c>
      <c r="L98">
        <v>0</v>
      </c>
      <c r="M98" t="s">
        <v>35</v>
      </c>
      <c r="N98">
        <v>1</v>
      </c>
      <c r="O98">
        <v>60</v>
      </c>
    </row>
    <row r="99" spans="1:15" x14ac:dyDescent="0.25">
      <c r="A99" t="s">
        <v>15</v>
      </c>
      <c r="B99" t="s">
        <v>16</v>
      </c>
      <c r="C99">
        <v>8215895</v>
      </c>
      <c r="D99" t="s">
        <v>122</v>
      </c>
      <c r="E99">
        <v>7886001393</v>
      </c>
      <c r="F99" t="s">
        <v>18</v>
      </c>
      <c r="G99" t="s">
        <v>123</v>
      </c>
      <c r="H99">
        <v>0</v>
      </c>
      <c r="I99">
        <v>0</v>
      </c>
      <c r="J99">
        <v>1</v>
      </c>
      <c r="K99">
        <v>0</v>
      </c>
      <c r="L99">
        <v>0.01960784313725</v>
      </c>
      <c r="M99">
        <v>1</v>
      </c>
      <c r="N99">
        <v>1</v>
      </c>
      <c r="O99">
        <v>60</v>
      </c>
    </row>
    <row r="100" spans="1:15" x14ac:dyDescent="0.25">
      <c r="A100" t="s">
        <v>15</v>
      </c>
      <c r="B100" t="s">
        <v>16</v>
      </c>
      <c r="C100">
        <v>8351903</v>
      </c>
      <c r="D100" t="s">
        <v>45</v>
      </c>
      <c r="E100">
        <v>7886001747</v>
      </c>
      <c r="F100" t="s">
        <v>18</v>
      </c>
      <c r="G100" t="s">
        <v>124</v>
      </c>
      <c r="H100">
        <v>1</v>
      </c>
      <c r="I100">
        <v>0</v>
      </c>
      <c r="J100">
        <v>0</v>
      </c>
      <c r="K100">
        <v>1</v>
      </c>
      <c r="L100">
        <v>0</v>
      </c>
      <c r="M100" t="s">
        <v>35</v>
      </c>
      <c r="N100">
        <v>1</v>
      </c>
      <c r="O100">
        <v>60</v>
      </c>
    </row>
    <row r="101" spans="1:15" x14ac:dyDescent="0.25">
      <c r="A101" t="s">
        <v>15</v>
      </c>
      <c r="B101" t="s">
        <v>16</v>
      </c>
      <c r="C101">
        <v>8351903</v>
      </c>
      <c r="D101" t="s">
        <v>45</v>
      </c>
      <c r="E101">
        <v>7886002801</v>
      </c>
      <c r="F101" t="s">
        <v>18</v>
      </c>
      <c r="G101" t="s">
        <v>34</v>
      </c>
      <c r="H101">
        <v>1</v>
      </c>
      <c r="I101">
        <v>0</v>
      </c>
      <c r="J101">
        <v>0</v>
      </c>
      <c r="K101">
        <v>0.8823529411764706</v>
      </c>
      <c r="L101">
        <v>0</v>
      </c>
      <c r="M101" t="s">
        <v>35</v>
      </c>
      <c r="N101">
        <v>1</v>
      </c>
      <c r="O101">
        <v>60</v>
      </c>
    </row>
    <row r="102" spans="1:15" x14ac:dyDescent="0.25">
      <c r="A102" t="s">
        <v>15</v>
      </c>
      <c r="B102" t="s">
        <v>16</v>
      </c>
      <c r="C102">
        <v>8396105</v>
      </c>
      <c r="D102" t="s">
        <v>26</v>
      </c>
      <c r="E102">
        <v>7886001053</v>
      </c>
      <c r="F102" t="s">
        <v>18</v>
      </c>
      <c r="G102" t="s">
        <v>125</v>
      </c>
      <c r="H102">
        <v>1</v>
      </c>
      <c r="I102">
        <v>1</v>
      </c>
      <c r="J102">
        <v>0</v>
      </c>
      <c r="K102">
        <v>0</v>
      </c>
      <c r="L102">
        <v>0</v>
      </c>
      <c r="M102" t="s">
        <v>35</v>
      </c>
      <c r="N102">
        <v>1</v>
      </c>
      <c r="O102">
        <v>60</v>
      </c>
    </row>
    <row r="103" spans="1:15" x14ac:dyDescent="0.25">
      <c r="A103" t="s">
        <v>15</v>
      </c>
      <c r="B103" t="s">
        <v>16</v>
      </c>
      <c r="C103">
        <v>9372701</v>
      </c>
      <c r="D103" t="s">
        <v>53</v>
      </c>
      <c r="E103">
        <v>7886002666</v>
      </c>
      <c r="F103" t="s">
        <v>24</v>
      </c>
      <c r="G103" t="s">
        <v>126</v>
      </c>
      <c r="H103">
        <v>1</v>
      </c>
      <c r="I103">
        <v>1</v>
      </c>
      <c r="J103">
        <v>0</v>
      </c>
      <c r="K103">
        <v>0</v>
      </c>
      <c r="L103">
        <v>0</v>
      </c>
      <c r="M103" t="s">
        <v>35</v>
      </c>
      <c r="N103">
        <v>1</v>
      </c>
      <c r="O103">
        <v>60</v>
      </c>
    </row>
    <row r="104" spans="1:15" x14ac:dyDescent="0.25">
      <c r="A104" t="s">
        <v>15</v>
      </c>
      <c r="B104" t="s">
        <v>16</v>
      </c>
      <c r="C104">
        <v>9203505</v>
      </c>
      <c r="D104" t="s">
        <v>127</v>
      </c>
      <c r="E104">
        <v>7886000617</v>
      </c>
      <c r="F104" t="s">
        <v>18</v>
      </c>
      <c r="G104" t="s">
        <v>34</v>
      </c>
      <c r="H104">
        <v>1</v>
      </c>
      <c r="I104">
        <v>0</v>
      </c>
      <c r="J104">
        <v>0</v>
      </c>
      <c r="K104">
        <v>0</v>
      </c>
      <c r="L104">
        <v>0.75</v>
      </c>
      <c r="M104" t="s">
        <v>35</v>
      </c>
      <c r="N104">
        <v>1</v>
      </c>
      <c r="O104">
        <v>57</v>
      </c>
    </row>
    <row r="105" spans="1:15" x14ac:dyDescent="0.25">
      <c r="A105" t="s">
        <v>15</v>
      </c>
      <c r="B105" t="s">
        <v>16</v>
      </c>
      <c r="C105">
        <v>4969681</v>
      </c>
      <c r="D105" t="s">
        <v>128</v>
      </c>
      <c r="E105">
        <v>7886002521</v>
      </c>
      <c r="F105" t="s">
        <v>18</v>
      </c>
      <c r="G105" t="s">
        <v>129</v>
      </c>
      <c r="H105">
        <v>0</v>
      </c>
      <c r="I105">
        <v>0</v>
      </c>
      <c r="J105">
        <v>0</v>
      </c>
      <c r="K105">
        <v>1</v>
      </c>
      <c r="L105">
        <v>0.03448275862069</v>
      </c>
      <c r="M105">
        <v>0.5</v>
      </c>
      <c r="N105">
        <v>1</v>
      </c>
      <c r="O105">
        <v>50</v>
      </c>
    </row>
    <row r="106" spans="1:15" x14ac:dyDescent="0.25">
      <c r="A106" t="s">
        <v>15</v>
      </c>
      <c r="B106" t="s">
        <v>16</v>
      </c>
      <c r="C106">
        <v>1390788</v>
      </c>
      <c r="D106" t="s">
        <v>47</v>
      </c>
      <c r="E106">
        <v>7886001750</v>
      </c>
      <c r="F106" t="s">
        <v>18</v>
      </c>
      <c r="G106" t="s">
        <v>130</v>
      </c>
      <c r="H106">
        <v>0</v>
      </c>
      <c r="I106">
        <v>0</v>
      </c>
      <c r="J106">
        <v>0</v>
      </c>
      <c r="K106">
        <v>0</v>
      </c>
      <c r="L106">
        <v>0.10169491525424</v>
      </c>
      <c r="M106">
        <v>1</v>
      </c>
      <c r="N106">
        <v>1</v>
      </c>
      <c r="O106">
        <v>45</v>
      </c>
    </row>
    <row r="107" spans="1:15" x14ac:dyDescent="0.25">
      <c r="A107" t="s">
        <v>15</v>
      </c>
      <c r="B107" t="s">
        <v>16</v>
      </c>
      <c r="C107">
        <v>3489862</v>
      </c>
      <c r="D107" t="s">
        <v>67</v>
      </c>
      <c r="E107">
        <v>7886002385</v>
      </c>
      <c r="F107" t="s">
        <v>18</v>
      </c>
      <c r="G107" t="s">
        <v>131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</v>
      </c>
      <c r="N107">
        <v>1</v>
      </c>
      <c r="O107">
        <v>45</v>
      </c>
    </row>
    <row r="108" spans="1:15" x14ac:dyDescent="0.25">
      <c r="A108" t="s">
        <v>15</v>
      </c>
      <c r="B108" t="s">
        <v>16</v>
      </c>
      <c r="C108">
        <v>4969681</v>
      </c>
      <c r="D108" t="s">
        <v>128</v>
      </c>
      <c r="E108">
        <v>7886002530</v>
      </c>
      <c r="F108" t="s">
        <v>18</v>
      </c>
      <c r="G108" t="s">
        <v>132</v>
      </c>
      <c r="H108">
        <v>0</v>
      </c>
      <c r="I108">
        <v>0</v>
      </c>
      <c r="J108">
        <v>0</v>
      </c>
      <c r="K108">
        <v>1</v>
      </c>
      <c r="L108">
        <v>0</v>
      </c>
      <c r="M108" t="s">
        <v>35</v>
      </c>
      <c r="N108">
        <v>1</v>
      </c>
      <c r="O108">
        <v>40</v>
      </c>
    </row>
    <row r="109" spans="1:15" x14ac:dyDescent="0.25">
      <c r="A109" t="s">
        <v>15</v>
      </c>
      <c r="B109" t="s">
        <v>16</v>
      </c>
      <c r="C109">
        <v>8351903</v>
      </c>
      <c r="D109" t="s">
        <v>45</v>
      </c>
      <c r="E109">
        <v>7886000930</v>
      </c>
      <c r="F109" t="s">
        <v>18</v>
      </c>
      <c r="G109" t="s">
        <v>133</v>
      </c>
      <c r="H109">
        <v>1</v>
      </c>
      <c r="I109">
        <v>1</v>
      </c>
      <c r="J109">
        <v>0</v>
      </c>
      <c r="K109">
        <v>1</v>
      </c>
      <c r="L109">
        <v>0</v>
      </c>
      <c r="M109" t="s">
        <v>35</v>
      </c>
      <c r="N109">
        <v>1</v>
      </c>
      <c r="O109">
        <v>40</v>
      </c>
    </row>
    <row r="110" spans="1:15" x14ac:dyDescent="0.25">
      <c r="A110" t="s">
        <v>15</v>
      </c>
      <c r="B110" t="s">
        <v>16</v>
      </c>
      <c r="C110">
        <v>9203497</v>
      </c>
      <c r="D110" t="s">
        <v>41</v>
      </c>
      <c r="E110">
        <v>7886002658</v>
      </c>
      <c r="F110" t="s">
        <v>18</v>
      </c>
      <c r="G110" t="s">
        <v>34</v>
      </c>
      <c r="H110">
        <v>0</v>
      </c>
      <c r="I110">
        <v>0</v>
      </c>
      <c r="J110">
        <v>0</v>
      </c>
      <c r="K110">
        <v>0.8571428571428571</v>
      </c>
      <c r="L110">
        <v>0</v>
      </c>
      <c r="M110" t="s">
        <v>35</v>
      </c>
      <c r="N110">
        <v>1</v>
      </c>
      <c r="O110">
        <v>40</v>
      </c>
    </row>
    <row r="111" spans="1:15" x14ac:dyDescent="0.25">
      <c r="A111" t="s">
        <v>15</v>
      </c>
      <c r="B111" t="s">
        <v>16</v>
      </c>
      <c r="C111">
        <v>9203500</v>
      </c>
      <c r="D111" t="s">
        <v>28</v>
      </c>
      <c r="E111">
        <v>7886002667</v>
      </c>
      <c r="F111" t="s">
        <v>18</v>
      </c>
      <c r="G111" t="s">
        <v>34</v>
      </c>
      <c r="H111">
        <v>0</v>
      </c>
      <c r="I111">
        <v>0</v>
      </c>
      <c r="J111">
        <v>0</v>
      </c>
      <c r="K111">
        <v>0.8888888888888888</v>
      </c>
      <c r="L111">
        <v>0.08333333333333</v>
      </c>
      <c r="M111" t="s">
        <v>35</v>
      </c>
      <c r="N111">
        <v>1</v>
      </c>
      <c r="O111">
        <v>40</v>
      </c>
    </row>
    <row r="112" spans="1:15" x14ac:dyDescent="0.25">
      <c r="A112" t="s">
        <v>15</v>
      </c>
      <c r="B112" t="s">
        <v>16</v>
      </c>
      <c r="C112">
        <v>8215895</v>
      </c>
      <c r="D112" t="s">
        <v>122</v>
      </c>
      <c r="E112">
        <v>7886002371</v>
      </c>
      <c r="F112" t="s">
        <v>18</v>
      </c>
      <c r="G112" t="s">
        <v>134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0.5</v>
      </c>
      <c r="N112">
        <v>1</v>
      </c>
      <c r="O112">
        <v>35</v>
      </c>
    </row>
    <row r="113" spans="1:15" x14ac:dyDescent="0.25">
      <c r="A113" t="s">
        <v>15</v>
      </c>
      <c r="B113" t="s">
        <v>16</v>
      </c>
      <c r="C113">
        <v>2227239</v>
      </c>
      <c r="D113" t="s">
        <v>135</v>
      </c>
      <c r="E113">
        <v>7886002507</v>
      </c>
      <c r="F113" t="s">
        <v>18</v>
      </c>
      <c r="G113" t="s">
        <v>136</v>
      </c>
      <c r="H113">
        <v>0</v>
      </c>
      <c r="I113">
        <v>0</v>
      </c>
      <c r="J113">
        <v>0</v>
      </c>
      <c r="K113">
        <v>0</v>
      </c>
      <c r="L113">
        <v>0.25</v>
      </c>
      <c r="M113">
        <v>0</v>
      </c>
      <c r="N113">
        <v>1</v>
      </c>
      <c r="O113">
        <v>25</v>
      </c>
    </row>
    <row r="114" spans="1:15" x14ac:dyDescent="0.25">
      <c r="A114" t="s">
        <v>15</v>
      </c>
      <c r="B114" t="s">
        <v>16</v>
      </c>
      <c r="C114">
        <v>2278119</v>
      </c>
      <c r="D114" t="s">
        <v>65</v>
      </c>
      <c r="E114">
        <v>7886002383</v>
      </c>
      <c r="F114" t="s">
        <v>18</v>
      </c>
      <c r="G114" t="s">
        <v>137</v>
      </c>
      <c r="H114">
        <v>0</v>
      </c>
      <c r="I114">
        <v>0</v>
      </c>
      <c r="J114">
        <v>0</v>
      </c>
      <c r="K114">
        <v>0</v>
      </c>
      <c r="L114">
        <v>0.08695652173913</v>
      </c>
      <c r="M114">
        <v>0</v>
      </c>
      <c r="N114">
        <v>1</v>
      </c>
      <c r="O114">
        <v>25</v>
      </c>
    </row>
    <row r="115" spans="1:15" x14ac:dyDescent="0.25">
      <c r="A115" t="s">
        <v>15</v>
      </c>
      <c r="B115" t="s">
        <v>16</v>
      </c>
      <c r="C115">
        <v>3489862</v>
      </c>
      <c r="D115" t="s">
        <v>67</v>
      </c>
      <c r="E115">
        <v>7886002384</v>
      </c>
      <c r="F115" t="s">
        <v>18</v>
      </c>
      <c r="G115" t="s">
        <v>138</v>
      </c>
      <c r="H115">
        <v>0</v>
      </c>
      <c r="I115">
        <v>0</v>
      </c>
      <c r="J115">
        <v>0</v>
      </c>
      <c r="K115">
        <v>0</v>
      </c>
      <c r="L115">
        <v>0.02083333333333</v>
      </c>
      <c r="M115">
        <v>0</v>
      </c>
      <c r="N115">
        <v>1</v>
      </c>
      <c r="O115">
        <v>25</v>
      </c>
    </row>
    <row r="116" spans="1:15" x14ac:dyDescent="0.25">
      <c r="A116" t="s">
        <v>15</v>
      </c>
      <c r="B116" t="s">
        <v>16</v>
      </c>
      <c r="C116">
        <v>8215895</v>
      </c>
      <c r="D116" t="s">
        <v>122</v>
      </c>
      <c r="E116">
        <v>7886002380</v>
      </c>
      <c r="F116" t="s">
        <v>18</v>
      </c>
      <c r="G116" t="s">
        <v>139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25</v>
      </c>
    </row>
    <row r="117" spans="1:15" x14ac:dyDescent="0.25">
      <c r="A117" t="s">
        <v>15</v>
      </c>
      <c r="B117" t="s">
        <v>16</v>
      </c>
      <c r="C117">
        <v>9372701</v>
      </c>
      <c r="D117" t="s">
        <v>53</v>
      </c>
      <c r="E117">
        <v>7886002230</v>
      </c>
      <c r="F117" t="s">
        <v>24</v>
      </c>
      <c r="G117" t="s">
        <v>140</v>
      </c>
      <c r="H117">
        <v>0</v>
      </c>
      <c r="I117">
        <v>0</v>
      </c>
      <c r="J117">
        <v>0</v>
      </c>
      <c r="K117">
        <v>0</v>
      </c>
      <c r="L117">
        <v>0.05882352941176</v>
      </c>
      <c r="M117">
        <v>0</v>
      </c>
      <c r="N117">
        <v>1</v>
      </c>
      <c r="O117">
        <v>25</v>
      </c>
    </row>
    <row r="118" spans="1:15" x14ac:dyDescent="0.25">
      <c r="A118" t="s">
        <v>15</v>
      </c>
      <c r="B118" t="s">
        <v>16</v>
      </c>
      <c r="C118">
        <v>8398383</v>
      </c>
      <c r="D118" t="s">
        <v>97</v>
      </c>
      <c r="E118">
        <v>7886002481</v>
      </c>
      <c r="F118" t="s">
        <v>18</v>
      </c>
      <c r="G118" t="s">
        <v>141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35</v>
      </c>
      <c r="N118">
        <v>1</v>
      </c>
      <c r="O11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3" customWidth="1"/>
    <col min="4" max="4" width="22" customWidth="1"/>
    <col min="5" max="5" width="30" customWidth="1"/>
    <col min="6" max="7" width="12" customWidth="1"/>
    <col min="8" max="8" width="18" customWidth="1"/>
    <col min="9" max="9" width="12" customWidth="1"/>
    <col min="10" max="10" width="25" customWidth="1"/>
    <col min="11" max="11" width="29" customWidth="1"/>
    <col min="12" max="12" width="15" customWidth="1"/>
    <col min="13" max="13" width="13" customWidth="1"/>
    <col min="14" max="14" width="17" customWidth="1"/>
    <col min="15" max="15" width="15" customWidth="1"/>
    <col min="16" max="16" width="17" customWidth="1"/>
    <col min="17" max="17" width="20" customWidth="1"/>
    <col min="18" max="18" width="12" customWidth="1"/>
    <col min="19" max="19" width="14" customWidth="1"/>
    <col min="20" max="21" width="20" customWidth="1"/>
    <col min="22" max="22" width="23" customWidth="1"/>
    <col min="23" max="23" width="18" customWidth="1"/>
    <col min="24" max="24" width="22" customWidth="1"/>
    <col min="25" max="26" width="12" customWidth="1"/>
    <col min="27" max="27" width="14" customWidth="1"/>
    <col min="28" max="28" width="12" customWidth="1"/>
    <col min="29" max="29" width="20" customWidth="1"/>
    <col min="30" max="30" width="12" customWidth="1"/>
    <col min="31" max="31" width="19" customWidth="1"/>
    <col min="32" max="32" width="12" customWidth="1"/>
    <col min="33" max="33" width="19" customWidth="1"/>
    <col min="34" max="34" width="20" customWidth="1"/>
    <col min="35" max="35" width="19" customWidth="1"/>
    <col min="36" max="36" width="20" customWidth="1"/>
  </cols>
  <sheetData>
    <row r="1" ht="28" customHeight="1" spans="1:36" x14ac:dyDescent="0.25">
      <c r="A1" s="1" t="s">
        <v>142</v>
      </c>
      <c r="B1" s="1" t="s">
        <v>1</v>
      </c>
      <c r="C1" s="1" t="s">
        <v>143</v>
      </c>
      <c r="D1" s="1" t="s">
        <v>3</v>
      </c>
      <c r="E1" s="1" t="s">
        <v>144</v>
      </c>
      <c r="F1" s="1" t="s">
        <v>145</v>
      </c>
      <c r="G1" s="1" t="s">
        <v>4</v>
      </c>
      <c r="H1" s="1" t="s">
        <v>146</v>
      </c>
      <c r="I1" s="1" t="s">
        <v>5</v>
      </c>
      <c r="J1" s="1" t="s">
        <v>147</v>
      </c>
      <c r="K1" s="1" t="s">
        <v>6</v>
      </c>
      <c r="L1" s="1" t="s">
        <v>148</v>
      </c>
      <c r="M1" s="1" t="s">
        <v>149</v>
      </c>
      <c r="N1" s="1" t="s">
        <v>150</v>
      </c>
      <c r="O1" s="1" t="s">
        <v>151</v>
      </c>
      <c r="P1" s="1" t="s">
        <v>152</v>
      </c>
      <c r="Q1" s="1" t="s">
        <v>153</v>
      </c>
      <c r="R1" s="1" t="s">
        <v>154</v>
      </c>
      <c r="S1" s="1" t="s">
        <v>155</v>
      </c>
      <c r="T1" s="1" t="s">
        <v>156</v>
      </c>
      <c r="U1" s="1" t="s">
        <v>157</v>
      </c>
      <c r="V1" s="1" t="s">
        <v>158</v>
      </c>
      <c r="W1" s="1" t="s">
        <v>159</v>
      </c>
      <c r="X1" s="1" t="s">
        <v>160</v>
      </c>
      <c r="Y1" s="1" t="s">
        <v>161</v>
      </c>
      <c r="Z1" s="1" t="s">
        <v>154</v>
      </c>
      <c r="AA1" s="1" t="s">
        <v>155</v>
      </c>
      <c r="AB1" s="1" t="s">
        <v>156</v>
      </c>
      <c r="AC1" s="1" t="s">
        <v>157</v>
      </c>
      <c r="AD1" s="1" t="s">
        <v>158</v>
      </c>
      <c r="AE1" s="1" t="s">
        <v>159</v>
      </c>
      <c r="AF1" s="1" t="s">
        <v>161</v>
      </c>
      <c r="AG1" s="1" t="s">
        <v>162</v>
      </c>
      <c r="AH1" s="1" t="s">
        <v>160</v>
      </c>
      <c r="AI1" s="1" t="s">
        <v>163</v>
      </c>
      <c r="AJ1" s="1" t="s">
        <v>164</v>
      </c>
    </row>
    <row r="2" spans="1:36" x14ac:dyDescent="0.25">
      <c r="A2" t="s">
        <v>165</v>
      </c>
      <c r="B2" t="s">
        <v>16</v>
      </c>
      <c r="C2">
        <v>4969684</v>
      </c>
      <c r="D2" t="s">
        <v>17</v>
      </c>
      <c r="E2" t="s">
        <v>166</v>
      </c>
      <c r="F2" t="s">
        <v>167</v>
      </c>
      <c r="G2">
        <v>7886002522</v>
      </c>
      <c r="H2" t="s">
        <v>168</v>
      </c>
      <c r="I2" t="s">
        <v>18</v>
      </c>
      <c r="J2" t="s">
        <v>169</v>
      </c>
      <c r="K2" t="s">
        <v>19</v>
      </c>
      <c r="L2" t="s">
        <v>170</v>
      </c>
      <c r="M2" t="s">
        <v>171</v>
      </c>
      <c r="N2" t="s">
        <v>172</v>
      </c>
      <c r="O2" t="s">
        <v>173</v>
      </c>
      <c r="P2">
        <v>87</v>
      </c>
      <c r="Q2" t="s">
        <v>174</v>
      </c>
      <c r="R2">
        <v>1</v>
      </c>
      <c r="S2">
        <v>1</v>
      </c>
      <c r="T2">
        <v>100</v>
      </c>
      <c r="U2">
        <v>1</v>
      </c>
      <c r="V2">
        <v>0.004424778761061947</v>
      </c>
      <c r="W2">
        <v>1</v>
      </c>
      <c r="X2">
        <v>1</v>
      </c>
      <c r="Z2">
        <v>15</v>
      </c>
      <c r="AA2">
        <v>15</v>
      </c>
      <c r="AB2">
        <v>20</v>
      </c>
      <c r="AC2">
        <v>15</v>
      </c>
      <c r="AD2">
        <v>15</v>
      </c>
      <c r="AE2">
        <v>15</v>
      </c>
      <c r="AG2">
        <v>95</v>
      </c>
      <c r="AH2">
        <v>15</v>
      </c>
      <c r="AI2">
        <v>118.75</v>
      </c>
      <c r="AJ2">
        <v>133.75</v>
      </c>
    </row>
    <row r="3" spans="1:36" x14ac:dyDescent="0.25">
      <c r="A3" t="s">
        <v>165</v>
      </c>
      <c r="B3" t="s">
        <v>16</v>
      </c>
      <c r="C3">
        <v>4970875</v>
      </c>
      <c r="D3" t="s">
        <v>36</v>
      </c>
      <c r="E3" t="s">
        <v>166</v>
      </c>
      <c r="F3" t="s">
        <v>167</v>
      </c>
      <c r="G3">
        <v>7886002844</v>
      </c>
      <c r="H3" t="s">
        <v>168</v>
      </c>
      <c r="I3" t="s">
        <v>18</v>
      </c>
      <c r="J3" t="s">
        <v>169</v>
      </c>
      <c r="K3" t="s">
        <v>38</v>
      </c>
      <c r="L3" t="s">
        <v>170</v>
      </c>
      <c r="M3" t="s">
        <v>171</v>
      </c>
      <c r="N3" t="s">
        <v>172</v>
      </c>
      <c r="O3" t="s">
        <v>175</v>
      </c>
      <c r="P3">
        <v>115</v>
      </c>
      <c r="Q3" t="s">
        <v>174</v>
      </c>
      <c r="R3">
        <v>1</v>
      </c>
      <c r="S3">
        <v>1</v>
      </c>
      <c r="T3">
        <v>66.66666666666666</v>
      </c>
      <c r="U3">
        <v>0.5</v>
      </c>
      <c r="V3">
        <v>0.011061946902654867</v>
      </c>
      <c r="W3">
        <v>1</v>
      </c>
      <c r="X3">
        <v>0.75</v>
      </c>
      <c r="Z3">
        <v>15</v>
      </c>
      <c r="AA3">
        <v>15</v>
      </c>
      <c r="AB3">
        <v>18</v>
      </c>
      <c r="AC3">
        <v>7.5</v>
      </c>
      <c r="AD3">
        <v>15</v>
      </c>
      <c r="AE3">
        <v>15</v>
      </c>
      <c r="AG3">
        <v>85.5</v>
      </c>
      <c r="AH3">
        <v>11.25</v>
      </c>
      <c r="AI3">
        <v>106.875</v>
      </c>
      <c r="AJ3">
        <v>118.125</v>
      </c>
    </row>
    <row r="4" spans="1:36" x14ac:dyDescent="0.25">
      <c r="A4" t="s">
        <v>165</v>
      </c>
      <c r="B4" t="s">
        <v>16</v>
      </c>
      <c r="C4">
        <v>5933773</v>
      </c>
      <c r="D4" t="s">
        <v>22</v>
      </c>
      <c r="E4" t="s">
        <v>166</v>
      </c>
      <c r="F4" t="s">
        <v>167</v>
      </c>
      <c r="G4">
        <v>7886002529</v>
      </c>
      <c r="H4" t="s">
        <v>168</v>
      </c>
      <c r="I4" t="s">
        <v>18</v>
      </c>
      <c r="J4" t="s">
        <v>169</v>
      </c>
      <c r="K4" t="s">
        <v>23</v>
      </c>
      <c r="L4" t="s">
        <v>170</v>
      </c>
      <c r="M4" t="s">
        <v>171</v>
      </c>
      <c r="N4" t="s">
        <v>172</v>
      </c>
      <c r="O4" t="s">
        <v>173</v>
      </c>
      <c r="P4">
        <v>400</v>
      </c>
      <c r="Q4" t="s">
        <v>174</v>
      </c>
      <c r="R4">
        <v>1</v>
      </c>
      <c r="S4">
        <v>1</v>
      </c>
      <c r="T4">
        <v>100</v>
      </c>
      <c r="U4">
        <v>0</v>
      </c>
      <c r="V4">
        <v>0.017699115044247787</v>
      </c>
      <c r="W4">
        <v>1</v>
      </c>
      <c r="X4">
        <v>1</v>
      </c>
      <c r="Z4">
        <v>15</v>
      </c>
      <c r="AA4">
        <v>15</v>
      </c>
      <c r="AB4">
        <v>20</v>
      </c>
      <c r="AC4">
        <v>0</v>
      </c>
      <c r="AD4">
        <v>15</v>
      </c>
      <c r="AE4">
        <v>15</v>
      </c>
      <c r="AG4">
        <v>80</v>
      </c>
      <c r="AH4">
        <v>15</v>
      </c>
      <c r="AI4">
        <v>100</v>
      </c>
      <c r="AJ4">
        <v>115</v>
      </c>
    </row>
    <row r="5" spans="1:36" x14ac:dyDescent="0.25">
      <c r="A5" t="s">
        <v>165</v>
      </c>
      <c r="B5" t="s">
        <v>16</v>
      </c>
      <c r="C5">
        <v>8351903</v>
      </c>
      <c r="D5" t="s">
        <v>45</v>
      </c>
      <c r="E5" t="s">
        <v>166</v>
      </c>
      <c r="F5" t="s">
        <v>167</v>
      </c>
      <c r="G5">
        <v>7886002084</v>
      </c>
      <c r="H5" t="s">
        <v>168</v>
      </c>
      <c r="I5" t="s">
        <v>18</v>
      </c>
      <c r="J5" t="s">
        <v>169</v>
      </c>
      <c r="K5" t="s">
        <v>93</v>
      </c>
      <c r="L5" t="s">
        <v>170</v>
      </c>
      <c r="M5" t="s">
        <v>171</v>
      </c>
      <c r="N5" t="s">
        <v>172</v>
      </c>
      <c r="O5" t="s">
        <v>176</v>
      </c>
      <c r="P5">
        <v>143</v>
      </c>
      <c r="Q5" t="s">
        <v>174</v>
      </c>
      <c r="R5">
        <v>1</v>
      </c>
      <c r="S5">
        <v>1</v>
      </c>
      <c r="T5">
        <v>100</v>
      </c>
      <c r="U5">
        <v>1</v>
      </c>
      <c r="V5">
        <v>0.011061946902654867</v>
      </c>
      <c r="W5">
        <v>0</v>
      </c>
      <c r="X5">
        <v>1</v>
      </c>
      <c r="Z5">
        <v>15</v>
      </c>
      <c r="AA5">
        <v>15</v>
      </c>
      <c r="AB5">
        <v>20</v>
      </c>
      <c r="AC5">
        <v>15</v>
      </c>
      <c r="AD5">
        <v>15</v>
      </c>
      <c r="AE5">
        <v>0</v>
      </c>
      <c r="AG5">
        <v>80</v>
      </c>
      <c r="AH5">
        <v>15</v>
      </c>
      <c r="AI5">
        <v>100</v>
      </c>
      <c r="AJ5">
        <v>115</v>
      </c>
    </row>
    <row r="6" spans="1:36" x14ac:dyDescent="0.25">
      <c r="A6" t="s">
        <v>165</v>
      </c>
      <c r="B6" t="s">
        <v>16</v>
      </c>
      <c r="C6">
        <v>4969681</v>
      </c>
      <c r="D6" t="s">
        <v>128</v>
      </c>
      <c r="E6" t="s">
        <v>166</v>
      </c>
      <c r="F6" t="s">
        <v>167</v>
      </c>
      <c r="G6">
        <v>7886002521</v>
      </c>
      <c r="H6" t="s">
        <v>177</v>
      </c>
      <c r="I6" t="s">
        <v>18</v>
      </c>
      <c r="J6" t="s">
        <v>169</v>
      </c>
      <c r="K6" t="s">
        <v>129</v>
      </c>
      <c r="L6" t="s">
        <v>170</v>
      </c>
      <c r="M6" t="s">
        <v>171</v>
      </c>
      <c r="N6" t="s">
        <v>172</v>
      </c>
      <c r="O6" t="s">
        <v>175</v>
      </c>
      <c r="P6">
        <v>226</v>
      </c>
      <c r="Q6" t="s">
        <v>174</v>
      </c>
      <c r="R6">
        <v>1</v>
      </c>
      <c r="S6">
        <v>1</v>
      </c>
      <c r="T6">
        <v>84.21052631578947</v>
      </c>
      <c r="U6">
        <v>0</v>
      </c>
      <c r="V6">
        <v>0.017699115044247787</v>
      </c>
      <c r="W6">
        <v>1</v>
      </c>
      <c r="X6">
        <v>1</v>
      </c>
      <c r="Z6">
        <v>15</v>
      </c>
      <c r="AA6">
        <v>15</v>
      </c>
      <c r="AB6">
        <v>20</v>
      </c>
      <c r="AC6">
        <v>0</v>
      </c>
      <c r="AD6">
        <v>15</v>
      </c>
      <c r="AE6">
        <v>15</v>
      </c>
      <c r="AG6">
        <v>80</v>
      </c>
      <c r="AH6">
        <v>15</v>
      </c>
      <c r="AI6">
        <v>100</v>
      </c>
      <c r="AJ6">
        <v>115</v>
      </c>
    </row>
    <row r="7" spans="1:36" x14ac:dyDescent="0.25">
      <c r="A7" t="s">
        <v>165</v>
      </c>
      <c r="B7" t="s">
        <v>16</v>
      </c>
      <c r="C7">
        <v>4969681</v>
      </c>
      <c r="D7" t="s">
        <v>128</v>
      </c>
      <c r="E7" t="s">
        <v>166</v>
      </c>
      <c r="F7" t="s">
        <v>167</v>
      </c>
      <c r="G7">
        <v>7886002530</v>
      </c>
      <c r="H7" t="s">
        <v>177</v>
      </c>
      <c r="I7" t="s">
        <v>18</v>
      </c>
      <c r="J7" t="s">
        <v>169</v>
      </c>
      <c r="K7" t="s">
        <v>132</v>
      </c>
      <c r="L7" t="s">
        <v>178</v>
      </c>
      <c r="M7" t="s">
        <v>171</v>
      </c>
      <c r="N7" t="s">
        <v>172</v>
      </c>
      <c r="O7" t="s">
        <v>175</v>
      </c>
      <c r="P7">
        <v>40</v>
      </c>
      <c r="Q7" t="s">
        <v>174</v>
      </c>
      <c r="R7">
        <v>1</v>
      </c>
      <c r="S7">
        <v>1</v>
      </c>
      <c r="T7">
        <v>71.42857142857143</v>
      </c>
      <c r="U7">
        <v>0</v>
      </c>
      <c r="V7">
        <v>0.015486725663716814</v>
      </c>
      <c r="W7">
        <v>1</v>
      </c>
      <c r="X7">
        <v>1</v>
      </c>
      <c r="Z7">
        <v>15</v>
      </c>
      <c r="AA7">
        <v>15</v>
      </c>
      <c r="AB7">
        <v>20</v>
      </c>
      <c r="AC7">
        <v>0</v>
      </c>
      <c r="AD7">
        <v>15</v>
      </c>
      <c r="AE7">
        <v>15</v>
      </c>
      <c r="AG7">
        <v>80</v>
      </c>
      <c r="AH7">
        <v>15</v>
      </c>
      <c r="AI7">
        <v>100</v>
      </c>
      <c r="AJ7">
        <v>115</v>
      </c>
    </row>
    <row r="8" spans="1:36" x14ac:dyDescent="0.25">
      <c r="A8" t="s">
        <v>165</v>
      </c>
      <c r="B8" t="s">
        <v>16</v>
      </c>
      <c r="C8">
        <v>8351903</v>
      </c>
      <c r="D8" t="s">
        <v>45</v>
      </c>
      <c r="E8" t="s">
        <v>166</v>
      </c>
      <c r="F8" t="s">
        <v>167</v>
      </c>
      <c r="G8">
        <v>7886002009</v>
      </c>
      <c r="H8" t="s">
        <v>168</v>
      </c>
      <c r="I8" t="s">
        <v>18</v>
      </c>
      <c r="J8" t="s">
        <v>169</v>
      </c>
      <c r="K8" t="s">
        <v>52</v>
      </c>
      <c r="L8" t="s">
        <v>170</v>
      </c>
      <c r="M8" t="s">
        <v>171</v>
      </c>
      <c r="N8" t="s">
        <v>172</v>
      </c>
      <c r="O8" t="s">
        <v>176</v>
      </c>
      <c r="P8">
        <v>83</v>
      </c>
      <c r="Q8" t="s">
        <v>174</v>
      </c>
      <c r="R8">
        <v>1</v>
      </c>
      <c r="S8">
        <v>1</v>
      </c>
      <c r="T8">
        <v>100</v>
      </c>
      <c r="U8">
        <v>0.7777777777777778</v>
      </c>
      <c r="V8">
        <v>0.004424778761061947</v>
      </c>
      <c r="W8">
        <v>0</v>
      </c>
      <c r="X8">
        <v>0.9090909090909091</v>
      </c>
      <c r="Z8">
        <v>15</v>
      </c>
      <c r="AA8">
        <v>15</v>
      </c>
      <c r="AB8">
        <v>20</v>
      </c>
      <c r="AC8">
        <v>11.666666666666666</v>
      </c>
      <c r="AD8">
        <v>15</v>
      </c>
      <c r="AE8">
        <v>0</v>
      </c>
      <c r="AG8">
        <v>76.66666666666666</v>
      </c>
      <c r="AH8">
        <v>13.636363636363637</v>
      </c>
      <c r="AI8">
        <v>95.83333333333331</v>
      </c>
      <c r="AJ8">
        <v>109.46969696969695</v>
      </c>
    </row>
    <row r="9" spans="1:36" x14ac:dyDescent="0.25">
      <c r="A9" t="s">
        <v>165</v>
      </c>
      <c r="B9" t="s">
        <v>16</v>
      </c>
      <c r="C9">
        <v>8351903</v>
      </c>
      <c r="D9" t="s">
        <v>45</v>
      </c>
      <c r="E9" t="s">
        <v>166</v>
      </c>
      <c r="F9" t="s">
        <v>167</v>
      </c>
      <c r="G9">
        <v>7886002215</v>
      </c>
      <c r="H9" t="s">
        <v>177</v>
      </c>
      <c r="I9" t="s">
        <v>18</v>
      </c>
      <c r="J9" t="s">
        <v>169</v>
      </c>
      <c r="K9" t="s">
        <v>94</v>
      </c>
      <c r="L9" t="s">
        <v>170</v>
      </c>
      <c r="M9" t="s">
        <v>171</v>
      </c>
      <c r="N9" t="s">
        <v>172</v>
      </c>
      <c r="O9" t="s">
        <v>176</v>
      </c>
      <c r="P9">
        <v>63</v>
      </c>
      <c r="Q9" t="s">
        <v>174</v>
      </c>
      <c r="R9">
        <v>1</v>
      </c>
      <c r="S9">
        <v>1</v>
      </c>
      <c r="T9">
        <v>87.5</v>
      </c>
      <c r="U9">
        <v>0.6818181818181818</v>
      </c>
      <c r="V9">
        <v>0.00663716814159292</v>
      </c>
      <c r="W9">
        <v>0</v>
      </c>
      <c r="X9">
        <v>1</v>
      </c>
      <c r="Z9">
        <v>15</v>
      </c>
      <c r="AA9">
        <v>15</v>
      </c>
      <c r="AB9">
        <v>20</v>
      </c>
      <c r="AC9">
        <v>10.227272727272727</v>
      </c>
      <c r="AD9">
        <v>15</v>
      </c>
      <c r="AE9">
        <v>0</v>
      </c>
      <c r="AG9">
        <v>75.22727272727272</v>
      </c>
      <c r="AH9">
        <v>15</v>
      </c>
      <c r="AI9">
        <v>94.0340909090909</v>
      </c>
      <c r="AJ9">
        <v>109.0340909090909</v>
      </c>
    </row>
    <row r="10" spans="1:36" x14ac:dyDescent="0.25">
      <c r="A10" t="s">
        <v>165</v>
      </c>
      <c r="B10" t="s">
        <v>16</v>
      </c>
      <c r="C10">
        <v>9372701</v>
      </c>
      <c r="D10" t="s">
        <v>53</v>
      </c>
      <c r="E10" t="s">
        <v>166</v>
      </c>
      <c r="F10" t="s">
        <v>167</v>
      </c>
      <c r="G10">
        <v>7886002672</v>
      </c>
      <c r="H10" t="s">
        <v>177</v>
      </c>
      <c r="I10" t="s">
        <v>24</v>
      </c>
      <c r="J10" t="s">
        <v>169</v>
      </c>
      <c r="K10" t="s">
        <v>107</v>
      </c>
      <c r="L10" t="s">
        <v>170</v>
      </c>
      <c r="M10" t="s">
        <v>179</v>
      </c>
      <c r="N10" t="s">
        <v>180</v>
      </c>
      <c r="O10" t="s">
        <v>176</v>
      </c>
      <c r="P10">
        <v>26</v>
      </c>
      <c r="Q10" t="s">
        <v>181</v>
      </c>
      <c r="R10">
        <v>1</v>
      </c>
      <c r="S10">
        <v>1</v>
      </c>
      <c r="T10">
        <v>100</v>
      </c>
      <c r="U10">
        <v>0.5</v>
      </c>
      <c r="V10">
        <v>0.004424778761061947</v>
      </c>
      <c r="W10">
        <v>0</v>
      </c>
      <c r="X10">
        <v>1</v>
      </c>
      <c r="Z10">
        <v>15</v>
      </c>
      <c r="AA10">
        <v>15</v>
      </c>
      <c r="AB10">
        <v>20</v>
      </c>
      <c r="AC10">
        <v>7.5</v>
      </c>
      <c r="AD10">
        <v>15</v>
      </c>
      <c r="AE10">
        <v>0</v>
      </c>
      <c r="AG10">
        <v>72.5</v>
      </c>
      <c r="AH10">
        <v>15</v>
      </c>
      <c r="AI10">
        <v>90.625</v>
      </c>
      <c r="AJ10">
        <v>105.625</v>
      </c>
    </row>
    <row r="11" spans="1:36" x14ac:dyDescent="0.25">
      <c r="A11" t="s">
        <v>165</v>
      </c>
      <c r="B11" t="s">
        <v>16</v>
      </c>
      <c r="C11">
        <v>9203497</v>
      </c>
      <c r="D11" t="s">
        <v>41</v>
      </c>
      <c r="E11" t="s">
        <v>166</v>
      </c>
      <c r="F11" t="s">
        <v>167</v>
      </c>
      <c r="G11">
        <v>7886002682</v>
      </c>
      <c r="H11" t="s">
        <v>177</v>
      </c>
      <c r="I11" t="s">
        <v>18</v>
      </c>
      <c r="J11" t="s">
        <v>169</v>
      </c>
      <c r="K11" t="s">
        <v>34</v>
      </c>
      <c r="L11" t="s">
        <v>182</v>
      </c>
      <c r="M11" t="s">
        <v>183</v>
      </c>
      <c r="N11" t="s">
        <v>172</v>
      </c>
      <c r="O11" t="s">
        <v>175</v>
      </c>
      <c r="P11">
        <v>73</v>
      </c>
      <c r="Q11" t="s">
        <v>174</v>
      </c>
      <c r="R11">
        <v>1</v>
      </c>
      <c r="S11">
        <v>1</v>
      </c>
      <c r="T11">
        <v>100</v>
      </c>
      <c r="U11">
        <v>0.5</v>
      </c>
      <c r="V11">
        <v>1</v>
      </c>
      <c r="W11">
        <v>1</v>
      </c>
      <c r="X11">
        <v>0.8571428571428571</v>
      </c>
      <c r="Z11">
        <v>15</v>
      </c>
      <c r="AA11">
        <v>15</v>
      </c>
      <c r="AB11">
        <v>20</v>
      </c>
      <c r="AC11">
        <v>7.5</v>
      </c>
      <c r="AD11">
        <v>0</v>
      </c>
      <c r="AE11">
        <v>15</v>
      </c>
      <c r="AG11">
        <v>72.5</v>
      </c>
      <c r="AH11">
        <v>12.857142857142856</v>
      </c>
      <c r="AI11">
        <v>90.625</v>
      </c>
      <c r="AJ11">
        <v>103.48214285714286</v>
      </c>
    </row>
    <row r="12" spans="1:36" x14ac:dyDescent="0.25">
      <c r="A12" t="s">
        <v>165</v>
      </c>
      <c r="B12" t="s">
        <v>16</v>
      </c>
      <c r="C12">
        <v>4969685</v>
      </c>
      <c r="D12" t="s">
        <v>20</v>
      </c>
      <c r="E12" t="s">
        <v>166</v>
      </c>
      <c r="F12" t="s">
        <v>167</v>
      </c>
      <c r="G12">
        <v>7886002532</v>
      </c>
      <c r="H12" t="s">
        <v>168</v>
      </c>
      <c r="I12" t="s">
        <v>18</v>
      </c>
      <c r="J12" t="s">
        <v>169</v>
      </c>
      <c r="K12" t="s">
        <v>21</v>
      </c>
      <c r="L12" t="s">
        <v>170</v>
      </c>
      <c r="M12" t="s">
        <v>179</v>
      </c>
      <c r="N12" t="s">
        <v>172</v>
      </c>
      <c r="O12" t="s">
        <v>173</v>
      </c>
      <c r="P12">
        <v>165</v>
      </c>
      <c r="Q12" t="s">
        <v>174</v>
      </c>
      <c r="R12">
        <v>1</v>
      </c>
      <c r="S12">
        <v>1</v>
      </c>
      <c r="T12">
        <v>57.14285714285714</v>
      </c>
      <c r="U12">
        <v>0</v>
      </c>
      <c r="V12">
        <v>0.033185840707964605</v>
      </c>
      <c r="W12">
        <v>1</v>
      </c>
      <c r="X12">
        <v>1</v>
      </c>
      <c r="Z12">
        <v>15</v>
      </c>
      <c r="AA12">
        <v>15</v>
      </c>
      <c r="AB12">
        <v>15</v>
      </c>
      <c r="AC12">
        <v>0</v>
      </c>
      <c r="AD12">
        <v>10</v>
      </c>
      <c r="AE12">
        <v>15</v>
      </c>
      <c r="AG12">
        <v>70</v>
      </c>
      <c r="AH12">
        <v>15</v>
      </c>
      <c r="AI12">
        <v>87.5</v>
      </c>
      <c r="AJ12">
        <v>102.5</v>
      </c>
    </row>
    <row r="13" spans="1:36" x14ac:dyDescent="0.25">
      <c r="A13" t="s">
        <v>165</v>
      </c>
      <c r="B13" t="s">
        <v>16</v>
      </c>
      <c r="C13">
        <v>5797728</v>
      </c>
      <c r="D13" t="s">
        <v>39</v>
      </c>
      <c r="E13" t="s">
        <v>166</v>
      </c>
      <c r="F13" t="s">
        <v>167</v>
      </c>
      <c r="G13">
        <v>7886002485</v>
      </c>
      <c r="H13" t="s">
        <v>177</v>
      </c>
      <c r="I13" t="s">
        <v>18</v>
      </c>
      <c r="J13" t="s">
        <v>169</v>
      </c>
      <c r="K13" t="s">
        <v>110</v>
      </c>
      <c r="L13" t="s">
        <v>170</v>
      </c>
      <c r="M13" t="s">
        <v>171</v>
      </c>
      <c r="N13" t="s">
        <v>172</v>
      </c>
      <c r="O13" t="s">
        <v>176</v>
      </c>
      <c r="P13">
        <v>108</v>
      </c>
      <c r="Q13" t="s">
        <v>174</v>
      </c>
      <c r="R13">
        <v>1</v>
      </c>
      <c r="S13">
        <v>1</v>
      </c>
      <c r="T13">
        <v>88.46153846153845</v>
      </c>
      <c r="U13">
        <v>1</v>
      </c>
      <c r="V13">
        <v>0.030973451327433628</v>
      </c>
      <c r="W13">
        <v>0</v>
      </c>
      <c r="X13">
        <v>0.25</v>
      </c>
      <c r="Z13">
        <v>15</v>
      </c>
      <c r="AA13">
        <v>15</v>
      </c>
      <c r="AB13">
        <v>20</v>
      </c>
      <c r="AC13">
        <v>15</v>
      </c>
      <c r="AD13">
        <v>10</v>
      </c>
      <c r="AE13">
        <v>0</v>
      </c>
      <c r="AG13">
        <v>75</v>
      </c>
      <c r="AH13">
        <v>3.75</v>
      </c>
      <c r="AI13">
        <v>93.75</v>
      </c>
      <c r="AJ13">
        <v>97.5</v>
      </c>
    </row>
    <row r="14" spans="1:36" x14ac:dyDescent="0.25">
      <c r="A14" t="s">
        <v>165</v>
      </c>
      <c r="B14" t="s">
        <v>16</v>
      </c>
      <c r="C14">
        <v>5797727</v>
      </c>
      <c r="D14" t="s">
        <v>81</v>
      </c>
      <c r="E14" t="s">
        <v>166</v>
      </c>
      <c r="F14" t="s">
        <v>167</v>
      </c>
      <c r="G14">
        <v>7886002548</v>
      </c>
      <c r="H14" t="s">
        <v>177</v>
      </c>
      <c r="I14" t="s">
        <v>18</v>
      </c>
      <c r="J14" t="s">
        <v>169</v>
      </c>
      <c r="K14" t="s">
        <v>34</v>
      </c>
      <c r="L14" t="s">
        <v>182</v>
      </c>
      <c r="M14" t="s">
        <v>171</v>
      </c>
      <c r="N14" t="s">
        <v>172</v>
      </c>
      <c r="O14" t="s">
        <v>176</v>
      </c>
      <c r="P14">
        <v>85</v>
      </c>
      <c r="Q14" t="s">
        <v>174</v>
      </c>
      <c r="R14">
        <v>1</v>
      </c>
      <c r="S14">
        <v>1</v>
      </c>
      <c r="T14">
        <v>100</v>
      </c>
      <c r="U14">
        <v>0</v>
      </c>
      <c r="V14">
        <v>0.004424778761061947</v>
      </c>
      <c r="W14">
        <v>0</v>
      </c>
      <c r="X14">
        <v>1</v>
      </c>
      <c r="Z14">
        <v>15</v>
      </c>
      <c r="AA14">
        <v>15</v>
      </c>
      <c r="AB14">
        <v>20</v>
      </c>
      <c r="AC14">
        <v>0</v>
      </c>
      <c r="AD14">
        <v>15</v>
      </c>
      <c r="AE14">
        <v>0</v>
      </c>
      <c r="AG14">
        <v>65</v>
      </c>
      <c r="AH14">
        <v>15</v>
      </c>
      <c r="AI14">
        <v>81.25</v>
      </c>
      <c r="AJ14">
        <v>96.25</v>
      </c>
    </row>
    <row r="15" spans="1:36" x14ac:dyDescent="0.25">
      <c r="A15" t="s">
        <v>165</v>
      </c>
      <c r="B15" t="s">
        <v>16</v>
      </c>
      <c r="C15">
        <v>8351903</v>
      </c>
      <c r="D15" t="s">
        <v>45</v>
      </c>
      <c r="E15" t="s">
        <v>166</v>
      </c>
      <c r="F15" t="s">
        <v>167</v>
      </c>
      <c r="G15">
        <v>7886002762</v>
      </c>
      <c r="H15" t="s">
        <v>168</v>
      </c>
      <c r="I15" t="s">
        <v>18</v>
      </c>
      <c r="J15" t="s">
        <v>169</v>
      </c>
      <c r="K15" t="s">
        <v>95</v>
      </c>
      <c r="L15" t="s">
        <v>170</v>
      </c>
      <c r="M15" t="s">
        <v>171</v>
      </c>
      <c r="N15" t="s">
        <v>172</v>
      </c>
      <c r="O15" t="s">
        <v>176</v>
      </c>
      <c r="P15">
        <v>75</v>
      </c>
      <c r="Q15" t="s">
        <v>174</v>
      </c>
      <c r="R15">
        <v>1</v>
      </c>
      <c r="S15">
        <v>1</v>
      </c>
      <c r="T15">
        <v>100</v>
      </c>
      <c r="U15">
        <v>0</v>
      </c>
      <c r="V15">
        <v>0.004424778761061947</v>
      </c>
      <c r="W15">
        <v>0</v>
      </c>
      <c r="X15">
        <v>1</v>
      </c>
      <c r="Z15">
        <v>15</v>
      </c>
      <c r="AA15">
        <v>15</v>
      </c>
      <c r="AB15">
        <v>20</v>
      </c>
      <c r="AC15">
        <v>0</v>
      </c>
      <c r="AD15">
        <v>15</v>
      </c>
      <c r="AE15">
        <v>0</v>
      </c>
      <c r="AG15">
        <v>65</v>
      </c>
      <c r="AH15">
        <v>15</v>
      </c>
      <c r="AI15">
        <v>81.25</v>
      </c>
      <c r="AJ15">
        <v>96.25</v>
      </c>
    </row>
    <row r="16" spans="1:36" x14ac:dyDescent="0.25">
      <c r="A16" t="s">
        <v>165</v>
      </c>
      <c r="B16" t="s">
        <v>16</v>
      </c>
      <c r="C16">
        <v>8398383</v>
      </c>
      <c r="D16" t="s">
        <v>97</v>
      </c>
      <c r="E16" t="s">
        <v>166</v>
      </c>
      <c r="F16" t="s">
        <v>184</v>
      </c>
      <c r="G16">
        <v>7886000632</v>
      </c>
      <c r="H16" t="s">
        <v>177</v>
      </c>
      <c r="I16" t="s">
        <v>18</v>
      </c>
      <c r="J16" t="s">
        <v>185</v>
      </c>
      <c r="K16" t="s">
        <v>98</v>
      </c>
      <c r="L16" t="s">
        <v>170</v>
      </c>
      <c r="M16" t="s">
        <v>171</v>
      </c>
      <c r="N16" t="s">
        <v>172</v>
      </c>
      <c r="O16" t="s">
        <v>173</v>
      </c>
      <c r="P16">
        <v>25</v>
      </c>
      <c r="Q16" t="s">
        <v>174</v>
      </c>
      <c r="R16">
        <v>1</v>
      </c>
      <c r="S16">
        <v>1</v>
      </c>
      <c r="T16">
        <v>100</v>
      </c>
      <c r="U16">
        <v>0</v>
      </c>
      <c r="V16">
        <v>0.0022123893805309734</v>
      </c>
      <c r="W16">
        <v>0.75</v>
      </c>
      <c r="Z16">
        <v>15</v>
      </c>
      <c r="AA16">
        <v>15</v>
      </c>
      <c r="AB16">
        <v>20</v>
      </c>
      <c r="AC16">
        <v>0</v>
      </c>
      <c r="AD16">
        <v>15</v>
      </c>
      <c r="AE16">
        <v>11.25</v>
      </c>
      <c r="AG16">
        <v>76.25</v>
      </c>
      <c r="AH16">
        <v>0</v>
      </c>
      <c r="AI16">
        <v>95.3125</v>
      </c>
      <c r="AJ16">
        <v>95.3125</v>
      </c>
    </row>
    <row r="17" spans="1:36" x14ac:dyDescent="0.25">
      <c r="A17" t="s">
        <v>165</v>
      </c>
      <c r="B17" t="s">
        <v>16</v>
      </c>
      <c r="C17">
        <v>8351903</v>
      </c>
      <c r="D17" t="s">
        <v>45</v>
      </c>
      <c r="E17" t="s">
        <v>166</v>
      </c>
      <c r="F17" t="s">
        <v>167</v>
      </c>
      <c r="G17">
        <v>7886001746</v>
      </c>
      <c r="H17" t="s">
        <v>177</v>
      </c>
      <c r="I17" t="s">
        <v>18</v>
      </c>
      <c r="J17" t="s">
        <v>169</v>
      </c>
      <c r="K17" t="s">
        <v>92</v>
      </c>
      <c r="L17" t="s">
        <v>170</v>
      </c>
      <c r="M17" t="s">
        <v>171</v>
      </c>
      <c r="N17" t="s">
        <v>172</v>
      </c>
      <c r="O17" t="s">
        <v>176</v>
      </c>
      <c r="P17">
        <v>73</v>
      </c>
      <c r="Q17" t="s">
        <v>174</v>
      </c>
      <c r="R17">
        <v>1</v>
      </c>
      <c r="S17">
        <v>1</v>
      </c>
      <c r="T17">
        <v>100</v>
      </c>
      <c r="U17">
        <v>0</v>
      </c>
      <c r="V17">
        <v>0.008849557522123894</v>
      </c>
      <c r="W17">
        <v>0</v>
      </c>
      <c r="X17">
        <v>0.9166666666666666</v>
      </c>
      <c r="Z17">
        <v>15</v>
      </c>
      <c r="AA17">
        <v>15</v>
      </c>
      <c r="AB17">
        <v>20</v>
      </c>
      <c r="AC17">
        <v>0</v>
      </c>
      <c r="AD17">
        <v>15</v>
      </c>
      <c r="AE17">
        <v>0</v>
      </c>
      <c r="AG17">
        <v>65</v>
      </c>
      <c r="AH17">
        <v>13.75</v>
      </c>
      <c r="AI17">
        <v>81.25</v>
      </c>
      <c r="AJ17">
        <v>95</v>
      </c>
    </row>
    <row r="18" spans="1:36" x14ac:dyDescent="0.25">
      <c r="A18" t="s">
        <v>165</v>
      </c>
      <c r="B18" t="s">
        <v>16</v>
      </c>
      <c r="C18">
        <v>5797727</v>
      </c>
      <c r="D18" t="s">
        <v>81</v>
      </c>
      <c r="E18" t="s">
        <v>166</v>
      </c>
      <c r="F18" t="s">
        <v>167</v>
      </c>
      <c r="G18">
        <v>7886002547</v>
      </c>
      <c r="H18" t="s">
        <v>177</v>
      </c>
      <c r="I18" t="s">
        <v>18</v>
      </c>
      <c r="J18" t="s">
        <v>169</v>
      </c>
      <c r="K18" t="s">
        <v>34</v>
      </c>
      <c r="L18" t="s">
        <v>182</v>
      </c>
      <c r="M18" t="s">
        <v>171</v>
      </c>
      <c r="N18" t="s">
        <v>172</v>
      </c>
      <c r="O18" t="s">
        <v>176</v>
      </c>
      <c r="P18">
        <v>72</v>
      </c>
      <c r="Q18" t="s">
        <v>174</v>
      </c>
      <c r="R18">
        <v>1</v>
      </c>
      <c r="S18">
        <v>1</v>
      </c>
      <c r="T18">
        <v>100</v>
      </c>
      <c r="U18">
        <v>0</v>
      </c>
      <c r="V18">
        <v>0.017699115044247787</v>
      </c>
      <c r="W18">
        <v>0</v>
      </c>
      <c r="X18">
        <v>0.9090909090909091</v>
      </c>
      <c r="Z18">
        <v>15</v>
      </c>
      <c r="AA18">
        <v>15</v>
      </c>
      <c r="AB18">
        <v>20</v>
      </c>
      <c r="AC18">
        <v>0</v>
      </c>
      <c r="AD18">
        <v>15</v>
      </c>
      <c r="AE18">
        <v>0</v>
      </c>
      <c r="AG18">
        <v>65</v>
      </c>
      <c r="AH18">
        <v>13.636363636363637</v>
      </c>
      <c r="AI18">
        <v>81.25</v>
      </c>
      <c r="AJ18">
        <v>94.88636363636364</v>
      </c>
    </row>
    <row r="19" spans="1:36" x14ac:dyDescent="0.25">
      <c r="A19" t="s">
        <v>165</v>
      </c>
      <c r="B19" t="s">
        <v>16</v>
      </c>
      <c r="C19">
        <v>9203497</v>
      </c>
      <c r="D19" t="s">
        <v>41</v>
      </c>
      <c r="E19" t="s">
        <v>166</v>
      </c>
      <c r="F19" t="s">
        <v>167</v>
      </c>
      <c r="G19">
        <v>7886002439</v>
      </c>
      <c r="H19" t="s">
        <v>177</v>
      </c>
      <c r="I19" t="s">
        <v>18</v>
      </c>
      <c r="J19" t="s">
        <v>169</v>
      </c>
      <c r="K19" t="s">
        <v>100</v>
      </c>
      <c r="L19" t="s">
        <v>178</v>
      </c>
      <c r="M19" t="s">
        <v>183</v>
      </c>
      <c r="N19" t="s">
        <v>172</v>
      </c>
      <c r="O19" t="s">
        <v>175</v>
      </c>
      <c r="P19">
        <v>197</v>
      </c>
      <c r="Q19" t="s">
        <v>174</v>
      </c>
      <c r="R19">
        <v>0</v>
      </c>
      <c r="S19">
        <v>1</v>
      </c>
      <c r="T19">
        <v>84.61538461538461</v>
      </c>
      <c r="U19">
        <v>0</v>
      </c>
      <c r="V19">
        <v>0.00663716814159292</v>
      </c>
      <c r="W19">
        <v>1</v>
      </c>
      <c r="X19">
        <v>0.8636363636363636</v>
      </c>
      <c r="Z19">
        <v>0</v>
      </c>
      <c r="AA19">
        <v>15</v>
      </c>
      <c r="AB19">
        <v>20</v>
      </c>
      <c r="AC19">
        <v>0</v>
      </c>
      <c r="AD19">
        <v>15</v>
      </c>
      <c r="AE19">
        <v>15</v>
      </c>
      <c r="AG19">
        <v>65</v>
      </c>
      <c r="AH19">
        <v>12.954545454545455</v>
      </c>
      <c r="AI19">
        <v>81.25</v>
      </c>
      <c r="AJ19">
        <v>94.20454545454545</v>
      </c>
    </row>
    <row r="20" spans="1:36" x14ac:dyDescent="0.25">
      <c r="A20" t="s">
        <v>165</v>
      </c>
      <c r="B20" t="s">
        <v>16</v>
      </c>
      <c r="C20">
        <v>5797725</v>
      </c>
      <c r="D20" t="s">
        <v>72</v>
      </c>
      <c r="E20" t="s">
        <v>166</v>
      </c>
      <c r="F20" t="s">
        <v>167</v>
      </c>
      <c r="G20">
        <v>7886002542</v>
      </c>
      <c r="H20" t="s">
        <v>177</v>
      </c>
      <c r="I20" t="s">
        <v>18</v>
      </c>
      <c r="J20" t="s">
        <v>169</v>
      </c>
      <c r="K20" t="s">
        <v>34</v>
      </c>
      <c r="L20" t="s">
        <v>182</v>
      </c>
      <c r="M20" t="s">
        <v>171</v>
      </c>
      <c r="N20" t="s">
        <v>172</v>
      </c>
      <c r="O20" t="s">
        <v>176</v>
      </c>
      <c r="P20">
        <v>29</v>
      </c>
      <c r="Q20" t="s">
        <v>174</v>
      </c>
      <c r="R20">
        <v>1</v>
      </c>
      <c r="S20">
        <v>1</v>
      </c>
      <c r="T20">
        <v>100</v>
      </c>
      <c r="U20">
        <v>0</v>
      </c>
      <c r="V20">
        <v>0.01991150442477876</v>
      </c>
      <c r="W20">
        <v>0</v>
      </c>
      <c r="X20">
        <v>0.75</v>
      </c>
      <c r="Z20">
        <v>15</v>
      </c>
      <c r="AA20">
        <v>15</v>
      </c>
      <c r="AB20">
        <v>20</v>
      </c>
      <c r="AC20">
        <v>0</v>
      </c>
      <c r="AD20">
        <v>15</v>
      </c>
      <c r="AE20">
        <v>0</v>
      </c>
      <c r="AG20">
        <v>65</v>
      </c>
      <c r="AH20">
        <v>11.25</v>
      </c>
      <c r="AI20">
        <v>81.25</v>
      </c>
      <c r="AJ20">
        <v>92.5</v>
      </c>
    </row>
    <row r="21" spans="1:36" x14ac:dyDescent="0.25">
      <c r="A21" t="s">
        <v>165</v>
      </c>
      <c r="B21" t="s">
        <v>16</v>
      </c>
      <c r="C21">
        <v>8351903</v>
      </c>
      <c r="D21" t="s">
        <v>45</v>
      </c>
      <c r="E21" t="s">
        <v>166</v>
      </c>
      <c r="F21" t="s">
        <v>167</v>
      </c>
      <c r="G21">
        <v>7886002788</v>
      </c>
      <c r="H21" t="s">
        <v>177</v>
      </c>
      <c r="I21" t="s">
        <v>18</v>
      </c>
      <c r="J21" t="s">
        <v>169</v>
      </c>
      <c r="K21" t="s">
        <v>34</v>
      </c>
      <c r="L21" t="s">
        <v>182</v>
      </c>
      <c r="M21" t="s">
        <v>171</v>
      </c>
      <c r="N21" t="s">
        <v>172</v>
      </c>
      <c r="O21" t="s">
        <v>176</v>
      </c>
      <c r="P21">
        <v>76</v>
      </c>
      <c r="Q21" t="s">
        <v>174</v>
      </c>
      <c r="R21">
        <v>0</v>
      </c>
      <c r="S21">
        <v>1</v>
      </c>
      <c r="T21">
        <v>100</v>
      </c>
      <c r="U21">
        <v>1</v>
      </c>
      <c r="V21">
        <v>0.011061946902654867</v>
      </c>
      <c r="W21">
        <v>0</v>
      </c>
      <c r="X21">
        <v>0.7</v>
      </c>
      <c r="Z21">
        <v>0</v>
      </c>
      <c r="AA21">
        <v>15</v>
      </c>
      <c r="AB21">
        <v>20</v>
      </c>
      <c r="AC21">
        <v>15</v>
      </c>
      <c r="AD21">
        <v>15</v>
      </c>
      <c r="AE21">
        <v>0</v>
      </c>
      <c r="AG21">
        <v>65</v>
      </c>
      <c r="AH21">
        <v>10.5</v>
      </c>
      <c r="AI21">
        <v>81.25</v>
      </c>
      <c r="AJ21">
        <v>91.75</v>
      </c>
    </row>
    <row r="22" spans="1:36" x14ac:dyDescent="0.25">
      <c r="A22" t="s">
        <v>165</v>
      </c>
      <c r="B22" t="s">
        <v>16</v>
      </c>
      <c r="C22">
        <v>9203499</v>
      </c>
      <c r="D22" t="s">
        <v>28</v>
      </c>
      <c r="E22" t="s">
        <v>166</v>
      </c>
      <c r="F22" t="s">
        <v>167</v>
      </c>
      <c r="G22">
        <v>7886001055</v>
      </c>
      <c r="H22" t="s">
        <v>177</v>
      </c>
      <c r="I22" t="s">
        <v>18</v>
      </c>
      <c r="J22" t="s">
        <v>169</v>
      </c>
      <c r="K22" t="s">
        <v>59</v>
      </c>
      <c r="L22" t="s">
        <v>170</v>
      </c>
      <c r="M22" t="s">
        <v>183</v>
      </c>
      <c r="N22" t="s">
        <v>172</v>
      </c>
      <c r="O22" t="s">
        <v>176</v>
      </c>
      <c r="P22">
        <v>122</v>
      </c>
      <c r="Q22" t="s">
        <v>174</v>
      </c>
      <c r="R22">
        <v>1</v>
      </c>
      <c r="S22">
        <v>1</v>
      </c>
      <c r="T22">
        <v>100</v>
      </c>
      <c r="U22">
        <v>0</v>
      </c>
      <c r="V22">
        <v>0.017699115044247787</v>
      </c>
      <c r="W22">
        <v>0</v>
      </c>
      <c r="X22">
        <v>0.6875</v>
      </c>
      <c r="Z22">
        <v>15</v>
      </c>
      <c r="AA22">
        <v>15</v>
      </c>
      <c r="AB22">
        <v>20</v>
      </c>
      <c r="AC22">
        <v>0</v>
      </c>
      <c r="AD22">
        <v>15</v>
      </c>
      <c r="AE22">
        <v>0</v>
      </c>
      <c r="AG22">
        <v>65</v>
      </c>
      <c r="AH22">
        <v>10.3125</v>
      </c>
      <c r="AI22">
        <v>81.25</v>
      </c>
      <c r="AJ22">
        <v>91.5625</v>
      </c>
    </row>
    <row r="23" spans="1:36" x14ac:dyDescent="0.25">
      <c r="A23" t="s">
        <v>165</v>
      </c>
      <c r="B23" t="s">
        <v>16</v>
      </c>
      <c r="C23">
        <v>5797729</v>
      </c>
      <c r="D23" t="s">
        <v>85</v>
      </c>
      <c r="E23" t="s">
        <v>166</v>
      </c>
      <c r="F23" t="s">
        <v>167</v>
      </c>
      <c r="G23">
        <v>7886002501</v>
      </c>
      <c r="H23" t="s">
        <v>177</v>
      </c>
      <c r="I23" t="s">
        <v>18</v>
      </c>
      <c r="J23" t="s">
        <v>169</v>
      </c>
      <c r="K23" t="s">
        <v>87</v>
      </c>
      <c r="L23" t="s">
        <v>178</v>
      </c>
      <c r="M23" t="s">
        <v>171</v>
      </c>
      <c r="N23" t="s">
        <v>172</v>
      </c>
      <c r="O23" t="s">
        <v>176</v>
      </c>
      <c r="P23">
        <v>144</v>
      </c>
      <c r="Q23" t="s">
        <v>174</v>
      </c>
      <c r="R23">
        <v>1</v>
      </c>
      <c r="S23">
        <v>1</v>
      </c>
      <c r="T23">
        <v>100</v>
      </c>
      <c r="U23">
        <v>0</v>
      </c>
      <c r="V23">
        <v>0.024336283185840708</v>
      </c>
      <c r="W23">
        <v>0</v>
      </c>
      <c r="X23">
        <v>1</v>
      </c>
      <c r="Z23">
        <v>15</v>
      </c>
      <c r="AA23">
        <v>15</v>
      </c>
      <c r="AB23">
        <v>20</v>
      </c>
      <c r="AC23">
        <v>0</v>
      </c>
      <c r="AD23">
        <v>10</v>
      </c>
      <c r="AE23">
        <v>0</v>
      </c>
      <c r="AG23">
        <v>60</v>
      </c>
      <c r="AH23">
        <v>15</v>
      </c>
      <c r="AI23">
        <v>75</v>
      </c>
      <c r="AJ23">
        <v>90</v>
      </c>
    </row>
    <row r="24" spans="1:36" x14ac:dyDescent="0.25">
      <c r="A24" t="s">
        <v>165</v>
      </c>
      <c r="B24" t="s">
        <v>16</v>
      </c>
      <c r="C24">
        <v>5189455</v>
      </c>
      <c r="D24" t="s">
        <v>108</v>
      </c>
      <c r="E24" t="s">
        <v>166</v>
      </c>
      <c r="F24" t="s">
        <v>184</v>
      </c>
      <c r="G24">
        <v>7886002436</v>
      </c>
      <c r="H24" t="s">
        <v>177</v>
      </c>
      <c r="I24" t="s">
        <v>18</v>
      </c>
      <c r="J24" t="s">
        <v>185</v>
      </c>
      <c r="K24" t="s">
        <v>109</v>
      </c>
      <c r="L24" t="s">
        <v>170</v>
      </c>
      <c r="M24" t="s">
        <v>179</v>
      </c>
      <c r="N24" t="s">
        <v>172</v>
      </c>
      <c r="O24" t="s">
        <v>175</v>
      </c>
      <c r="P24">
        <v>517</v>
      </c>
      <c r="Q24" t="s">
        <v>174</v>
      </c>
      <c r="R24">
        <v>0</v>
      </c>
      <c r="S24">
        <v>1</v>
      </c>
      <c r="T24">
        <v>81.81818181818183</v>
      </c>
      <c r="U24">
        <v>1</v>
      </c>
      <c r="V24">
        <v>0.04424778761061947</v>
      </c>
      <c r="W24">
        <v>1</v>
      </c>
      <c r="X24">
        <v>0.014084507042253521</v>
      </c>
      <c r="Z24">
        <v>0</v>
      </c>
      <c r="AA24">
        <v>15</v>
      </c>
      <c r="AB24">
        <v>20</v>
      </c>
      <c r="AC24">
        <v>15</v>
      </c>
      <c r="AD24">
        <v>5</v>
      </c>
      <c r="AE24">
        <v>15</v>
      </c>
      <c r="AG24">
        <v>70</v>
      </c>
      <c r="AH24">
        <v>0.2112676056338028</v>
      </c>
      <c r="AI24">
        <v>87.5</v>
      </c>
      <c r="AJ24">
        <v>87.71126760563381</v>
      </c>
    </row>
    <row r="25" spans="1:36" x14ac:dyDescent="0.25">
      <c r="A25" t="s">
        <v>165</v>
      </c>
      <c r="B25" t="s">
        <v>16</v>
      </c>
      <c r="C25">
        <v>5797725</v>
      </c>
      <c r="D25" t="s">
        <v>72</v>
      </c>
      <c r="E25" t="s">
        <v>166</v>
      </c>
      <c r="F25" t="s">
        <v>167</v>
      </c>
      <c r="G25">
        <v>7886002540</v>
      </c>
      <c r="H25" t="s">
        <v>177</v>
      </c>
      <c r="I25" t="s">
        <v>75</v>
      </c>
      <c r="J25" t="s">
        <v>169</v>
      </c>
      <c r="K25" t="s">
        <v>76</v>
      </c>
      <c r="L25" t="s">
        <v>178</v>
      </c>
      <c r="M25" t="s">
        <v>171</v>
      </c>
      <c r="N25" t="s">
        <v>172</v>
      </c>
      <c r="O25" t="s">
        <v>176</v>
      </c>
      <c r="P25">
        <v>51</v>
      </c>
      <c r="Q25" t="s">
        <v>174</v>
      </c>
      <c r="R25">
        <v>1</v>
      </c>
      <c r="S25">
        <v>1</v>
      </c>
      <c r="T25">
        <v>0</v>
      </c>
      <c r="U25">
        <v>0.75</v>
      </c>
      <c r="V25">
        <v>0.0022123893805309734</v>
      </c>
      <c r="W25">
        <v>0</v>
      </c>
      <c r="X25">
        <v>1</v>
      </c>
      <c r="Z25">
        <v>15</v>
      </c>
      <c r="AA25">
        <v>15</v>
      </c>
      <c r="AB25">
        <v>0</v>
      </c>
      <c r="AC25">
        <v>11.25</v>
      </c>
      <c r="AD25">
        <v>15</v>
      </c>
      <c r="AE25">
        <v>0</v>
      </c>
      <c r="AG25">
        <v>56.25</v>
      </c>
      <c r="AH25">
        <v>15</v>
      </c>
      <c r="AI25">
        <v>70.3125</v>
      </c>
      <c r="AJ25">
        <v>85.3125</v>
      </c>
    </row>
    <row r="26" spans="1:36" x14ac:dyDescent="0.25">
      <c r="A26" t="s">
        <v>165</v>
      </c>
      <c r="B26" t="s">
        <v>16</v>
      </c>
      <c r="C26">
        <v>8351903</v>
      </c>
      <c r="D26" t="s">
        <v>45</v>
      </c>
      <c r="E26" t="s">
        <v>166</v>
      </c>
      <c r="F26" t="s">
        <v>167</v>
      </c>
      <c r="G26">
        <v>7886001214</v>
      </c>
      <c r="H26" t="s">
        <v>177</v>
      </c>
      <c r="I26" t="s">
        <v>18</v>
      </c>
      <c r="J26" t="s">
        <v>169</v>
      </c>
      <c r="K26" t="s">
        <v>34</v>
      </c>
      <c r="L26" t="s">
        <v>182</v>
      </c>
      <c r="M26" t="s">
        <v>171</v>
      </c>
      <c r="N26" t="s">
        <v>172</v>
      </c>
      <c r="O26" t="s">
        <v>176</v>
      </c>
      <c r="P26">
        <v>144</v>
      </c>
      <c r="Q26" t="s">
        <v>174</v>
      </c>
      <c r="R26">
        <v>0</v>
      </c>
      <c r="S26">
        <v>1</v>
      </c>
      <c r="T26">
        <v>100</v>
      </c>
      <c r="U26">
        <v>0</v>
      </c>
      <c r="V26">
        <v>0.0420353982300885</v>
      </c>
      <c r="W26">
        <v>1</v>
      </c>
      <c r="X26">
        <v>0.95</v>
      </c>
      <c r="Z26">
        <v>0</v>
      </c>
      <c r="AA26">
        <v>15</v>
      </c>
      <c r="AB26">
        <v>20</v>
      </c>
      <c r="AC26">
        <v>0</v>
      </c>
      <c r="AD26">
        <v>5</v>
      </c>
      <c r="AE26">
        <v>15</v>
      </c>
      <c r="AG26">
        <v>55</v>
      </c>
      <c r="AH26">
        <v>14.25</v>
      </c>
      <c r="AI26">
        <v>68.75</v>
      </c>
      <c r="AJ26">
        <v>83</v>
      </c>
    </row>
    <row r="27" spans="1:36" x14ac:dyDescent="0.25">
      <c r="A27" t="s">
        <v>165</v>
      </c>
      <c r="B27" t="s">
        <v>16</v>
      </c>
      <c r="C27">
        <v>1390788</v>
      </c>
      <c r="D27" t="s">
        <v>47</v>
      </c>
      <c r="E27" t="s">
        <v>166</v>
      </c>
      <c r="F27" t="s">
        <v>167</v>
      </c>
      <c r="G27">
        <v>7886002136</v>
      </c>
      <c r="H27" t="s">
        <v>168</v>
      </c>
      <c r="I27" t="s">
        <v>18</v>
      </c>
      <c r="J27" t="s">
        <v>169</v>
      </c>
      <c r="K27" t="s">
        <v>48</v>
      </c>
      <c r="L27" t="s">
        <v>170</v>
      </c>
      <c r="M27" t="s">
        <v>183</v>
      </c>
      <c r="N27" t="s">
        <v>172</v>
      </c>
      <c r="O27" t="s">
        <v>173</v>
      </c>
      <c r="P27">
        <v>25</v>
      </c>
      <c r="Q27" t="s">
        <v>174</v>
      </c>
      <c r="R27">
        <v>1</v>
      </c>
      <c r="S27">
        <v>1</v>
      </c>
      <c r="T27">
        <v>100</v>
      </c>
      <c r="U27">
        <v>0</v>
      </c>
      <c r="V27">
        <v>1</v>
      </c>
      <c r="W27">
        <v>1</v>
      </c>
      <c r="Z27">
        <v>15</v>
      </c>
      <c r="AA27">
        <v>15</v>
      </c>
      <c r="AB27">
        <v>20</v>
      </c>
      <c r="AC27">
        <v>0</v>
      </c>
      <c r="AD27">
        <v>0</v>
      </c>
      <c r="AE27">
        <v>15</v>
      </c>
      <c r="AG27">
        <v>65</v>
      </c>
      <c r="AH27">
        <v>0</v>
      </c>
      <c r="AI27">
        <v>81.25</v>
      </c>
      <c r="AJ27">
        <v>81.25</v>
      </c>
    </row>
    <row r="28" spans="1:36" x14ac:dyDescent="0.25">
      <c r="A28" t="s">
        <v>165</v>
      </c>
      <c r="B28" t="s">
        <v>16</v>
      </c>
      <c r="C28">
        <v>8351903</v>
      </c>
      <c r="D28" t="s">
        <v>45</v>
      </c>
      <c r="E28" t="s">
        <v>166</v>
      </c>
      <c r="F28" t="s">
        <v>167</v>
      </c>
      <c r="G28">
        <v>7886002099</v>
      </c>
      <c r="H28" t="s">
        <v>168</v>
      </c>
      <c r="I28" t="s">
        <v>18</v>
      </c>
      <c r="J28" t="s">
        <v>169</v>
      </c>
      <c r="K28" t="s">
        <v>55</v>
      </c>
      <c r="L28" t="s">
        <v>170</v>
      </c>
      <c r="M28" t="s">
        <v>171</v>
      </c>
      <c r="N28" t="s">
        <v>172</v>
      </c>
      <c r="O28" t="s">
        <v>173</v>
      </c>
      <c r="P28">
        <v>66</v>
      </c>
      <c r="Q28" t="s">
        <v>174</v>
      </c>
      <c r="R28">
        <v>1</v>
      </c>
      <c r="S28">
        <v>1</v>
      </c>
      <c r="T28">
        <v>85.71428571428571</v>
      </c>
      <c r="U28">
        <v>0</v>
      </c>
      <c r="V28">
        <v>1</v>
      </c>
      <c r="W28">
        <v>1</v>
      </c>
      <c r="Z28">
        <v>15</v>
      </c>
      <c r="AA28">
        <v>15</v>
      </c>
      <c r="AB28">
        <v>20</v>
      </c>
      <c r="AC28">
        <v>0</v>
      </c>
      <c r="AD28">
        <v>0</v>
      </c>
      <c r="AE28">
        <v>15</v>
      </c>
      <c r="AG28">
        <v>65</v>
      </c>
      <c r="AH28">
        <v>0</v>
      </c>
      <c r="AI28">
        <v>81.25</v>
      </c>
      <c r="AJ28">
        <v>81.25</v>
      </c>
    </row>
    <row r="29" spans="1:36" x14ac:dyDescent="0.25">
      <c r="A29" t="s">
        <v>165</v>
      </c>
      <c r="B29" t="s">
        <v>16</v>
      </c>
      <c r="C29">
        <v>1390788</v>
      </c>
      <c r="D29" t="s">
        <v>47</v>
      </c>
      <c r="E29" t="s">
        <v>166</v>
      </c>
      <c r="F29" t="s">
        <v>167</v>
      </c>
      <c r="G29">
        <v>7886002683</v>
      </c>
      <c r="H29" t="s">
        <v>177</v>
      </c>
      <c r="I29" t="s">
        <v>18</v>
      </c>
      <c r="J29" t="s">
        <v>169</v>
      </c>
      <c r="K29" t="s">
        <v>62</v>
      </c>
      <c r="L29" t="s">
        <v>170</v>
      </c>
      <c r="M29" t="s">
        <v>183</v>
      </c>
      <c r="N29" t="s">
        <v>172</v>
      </c>
      <c r="O29" t="s">
        <v>173</v>
      </c>
      <c r="P29">
        <v>59</v>
      </c>
      <c r="Q29" t="s">
        <v>174</v>
      </c>
      <c r="R29">
        <v>1</v>
      </c>
      <c r="S29">
        <v>1</v>
      </c>
      <c r="T29">
        <v>85.71428571428571</v>
      </c>
      <c r="U29">
        <v>0</v>
      </c>
      <c r="V29">
        <v>1</v>
      </c>
      <c r="W29">
        <v>1</v>
      </c>
      <c r="Z29">
        <v>15</v>
      </c>
      <c r="AA29">
        <v>15</v>
      </c>
      <c r="AB29">
        <v>20</v>
      </c>
      <c r="AC29">
        <v>0</v>
      </c>
      <c r="AD29">
        <v>0</v>
      </c>
      <c r="AE29">
        <v>15</v>
      </c>
      <c r="AG29">
        <v>65</v>
      </c>
      <c r="AH29">
        <v>0</v>
      </c>
      <c r="AI29">
        <v>81.25</v>
      </c>
      <c r="AJ29">
        <v>81.25</v>
      </c>
    </row>
    <row r="30" spans="1:36" x14ac:dyDescent="0.25">
      <c r="A30" t="s">
        <v>165</v>
      </c>
      <c r="B30" t="s">
        <v>16</v>
      </c>
      <c r="C30">
        <v>2278119</v>
      </c>
      <c r="D30" t="s">
        <v>65</v>
      </c>
      <c r="E30" t="s">
        <v>166</v>
      </c>
      <c r="F30" t="s">
        <v>167</v>
      </c>
      <c r="G30">
        <v>7886002386</v>
      </c>
      <c r="H30" t="s">
        <v>177</v>
      </c>
      <c r="I30" t="s">
        <v>18</v>
      </c>
      <c r="J30" t="s">
        <v>169</v>
      </c>
      <c r="K30" t="s">
        <v>66</v>
      </c>
      <c r="L30" t="s">
        <v>170</v>
      </c>
      <c r="M30" t="s">
        <v>183</v>
      </c>
      <c r="N30" t="s">
        <v>172</v>
      </c>
      <c r="O30" t="s">
        <v>173</v>
      </c>
      <c r="P30">
        <v>22</v>
      </c>
      <c r="Q30" t="s">
        <v>174</v>
      </c>
      <c r="R30">
        <v>1</v>
      </c>
      <c r="S30">
        <v>1</v>
      </c>
      <c r="T30">
        <v>100</v>
      </c>
      <c r="U30">
        <v>0</v>
      </c>
      <c r="V30">
        <v>1</v>
      </c>
      <c r="W30">
        <v>1</v>
      </c>
      <c r="Z30">
        <v>15</v>
      </c>
      <c r="AA30">
        <v>15</v>
      </c>
      <c r="AB30">
        <v>20</v>
      </c>
      <c r="AC30">
        <v>0</v>
      </c>
      <c r="AD30">
        <v>0</v>
      </c>
      <c r="AE30">
        <v>15</v>
      </c>
      <c r="AG30">
        <v>65</v>
      </c>
      <c r="AH30">
        <v>0</v>
      </c>
      <c r="AI30">
        <v>81.25</v>
      </c>
      <c r="AJ30">
        <v>81.25</v>
      </c>
    </row>
    <row r="31" spans="1:36" x14ac:dyDescent="0.25">
      <c r="A31" t="s">
        <v>165</v>
      </c>
      <c r="B31" t="s">
        <v>16</v>
      </c>
      <c r="C31">
        <v>8351903</v>
      </c>
      <c r="D31" t="s">
        <v>45</v>
      </c>
      <c r="E31" t="s">
        <v>166</v>
      </c>
      <c r="F31" t="s">
        <v>167</v>
      </c>
      <c r="G31">
        <v>7886000279</v>
      </c>
      <c r="H31" t="s">
        <v>168</v>
      </c>
      <c r="I31" t="s">
        <v>18</v>
      </c>
      <c r="J31" t="s">
        <v>169</v>
      </c>
      <c r="K31" t="s">
        <v>46</v>
      </c>
      <c r="L31" t="s">
        <v>170</v>
      </c>
      <c r="M31" t="s">
        <v>171</v>
      </c>
      <c r="N31" t="s">
        <v>172</v>
      </c>
      <c r="O31" t="s">
        <v>176</v>
      </c>
      <c r="P31">
        <v>94</v>
      </c>
      <c r="Q31" t="s">
        <v>174</v>
      </c>
      <c r="R31">
        <v>1</v>
      </c>
      <c r="S31">
        <v>1</v>
      </c>
      <c r="T31">
        <v>100</v>
      </c>
      <c r="U31">
        <v>0.1</v>
      </c>
      <c r="V31">
        <v>1</v>
      </c>
      <c r="W31">
        <v>0</v>
      </c>
      <c r="X31">
        <v>1</v>
      </c>
      <c r="Z31">
        <v>15</v>
      </c>
      <c r="AA31">
        <v>15</v>
      </c>
      <c r="AB31">
        <v>20</v>
      </c>
      <c r="AC31">
        <v>1.5</v>
      </c>
      <c r="AD31">
        <v>0</v>
      </c>
      <c r="AE31">
        <v>0</v>
      </c>
      <c r="AG31">
        <v>51.5</v>
      </c>
      <c r="AH31">
        <v>15</v>
      </c>
      <c r="AI31">
        <v>64.375</v>
      </c>
      <c r="AJ31">
        <v>79.375</v>
      </c>
    </row>
    <row r="32" spans="1:36" x14ac:dyDescent="0.25">
      <c r="A32" t="s">
        <v>165</v>
      </c>
      <c r="B32" t="s">
        <v>16</v>
      </c>
      <c r="C32">
        <v>3489862</v>
      </c>
      <c r="D32" t="s">
        <v>67</v>
      </c>
      <c r="E32" t="s">
        <v>166</v>
      </c>
      <c r="F32" t="s">
        <v>167</v>
      </c>
      <c r="G32">
        <v>7086001106</v>
      </c>
      <c r="H32" t="s">
        <v>177</v>
      </c>
      <c r="I32" t="s">
        <v>18</v>
      </c>
      <c r="J32" t="s">
        <v>169</v>
      </c>
      <c r="K32" t="s">
        <v>68</v>
      </c>
      <c r="L32" t="s">
        <v>170</v>
      </c>
      <c r="M32" t="s">
        <v>183</v>
      </c>
      <c r="N32" t="s">
        <v>186</v>
      </c>
      <c r="O32" t="s">
        <v>173</v>
      </c>
      <c r="P32">
        <v>110</v>
      </c>
      <c r="Q32" t="s">
        <v>174</v>
      </c>
      <c r="R32">
        <v>1</v>
      </c>
      <c r="S32">
        <v>1</v>
      </c>
      <c r="T32">
        <v>100</v>
      </c>
      <c r="U32">
        <v>0</v>
      </c>
      <c r="V32">
        <v>1</v>
      </c>
      <c r="W32">
        <v>1</v>
      </c>
      <c r="Z32">
        <v>15</v>
      </c>
      <c r="AA32">
        <v>15</v>
      </c>
      <c r="AB32">
        <v>20</v>
      </c>
      <c r="AC32">
        <v>0</v>
      </c>
      <c r="AD32">
        <v>0</v>
      </c>
      <c r="AE32">
        <v>15</v>
      </c>
      <c r="AG32">
        <v>65</v>
      </c>
      <c r="AH32">
        <v>0</v>
      </c>
      <c r="AI32">
        <v>81.25</v>
      </c>
      <c r="AJ32">
        <v>81.25</v>
      </c>
    </row>
    <row r="33" spans="1:36" x14ac:dyDescent="0.25">
      <c r="A33" t="s">
        <v>165</v>
      </c>
      <c r="B33" t="s">
        <v>16</v>
      </c>
      <c r="C33">
        <v>4970875</v>
      </c>
      <c r="D33" t="s">
        <v>36</v>
      </c>
      <c r="E33" t="s">
        <v>166</v>
      </c>
      <c r="F33" t="s">
        <v>167</v>
      </c>
      <c r="G33">
        <v>7886002675</v>
      </c>
      <c r="H33" t="s">
        <v>168</v>
      </c>
      <c r="I33" t="s">
        <v>18</v>
      </c>
      <c r="J33" t="s">
        <v>169</v>
      </c>
      <c r="K33" t="s">
        <v>71</v>
      </c>
      <c r="L33" t="s">
        <v>170</v>
      </c>
      <c r="M33" t="s">
        <v>171</v>
      </c>
      <c r="N33" t="s">
        <v>172</v>
      </c>
      <c r="O33" t="s">
        <v>173</v>
      </c>
      <c r="P33">
        <v>41</v>
      </c>
      <c r="Q33" t="s">
        <v>174</v>
      </c>
      <c r="R33">
        <v>1</v>
      </c>
      <c r="S33">
        <v>1</v>
      </c>
      <c r="T33">
        <v>100</v>
      </c>
      <c r="U33">
        <v>0</v>
      </c>
      <c r="V33">
        <v>1</v>
      </c>
      <c r="W33">
        <v>1</v>
      </c>
      <c r="Z33">
        <v>15</v>
      </c>
      <c r="AA33">
        <v>15</v>
      </c>
      <c r="AB33">
        <v>20</v>
      </c>
      <c r="AC33">
        <v>0</v>
      </c>
      <c r="AD33">
        <v>0</v>
      </c>
      <c r="AE33">
        <v>15</v>
      </c>
      <c r="AG33">
        <v>65</v>
      </c>
      <c r="AH33">
        <v>0</v>
      </c>
      <c r="AI33">
        <v>81.25</v>
      </c>
      <c r="AJ33">
        <v>81.25</v>
      </c>
    </row>
    <row r="34" spans="1:36" x14ac:dyDescent="0.25">
      <c r="A34" t="s">
        <v>165</v>
      </c>
      <c r="B34" t="s">
        <v>16</v>
      </c>
      <c r="C34">
        <v>9203499</v>
      </c>
      <c r="D34" t="s">
        <v>28</v>
      </c>
      <c r="E34" t="s">
        <v>166</v>
      </c>
      <c r="F34" t="s">
        <v>167</v>
      </c>
      <c r="G34">
        <v>7886001034</v>
      </c>
      <c r="H34" t="s">
        <v>168</v>
      </c>
      <c r="I34" t="s">
        <v>18</v>
      </c>
      <c r="J34" t="s">
        <v>169</v>
      </c>
      <c r="K34" t="s">
        <v>29</v>
      </c>
      <c r="L34" t="s">
        <v>170</v>
      </c>
      <c r="M34" t="s">
        <v>183</v>
      </c>
      <c r="N34" t="s">
        <v>186</v>
      </c>
      <c r="O34" t="s">
        <v>173</v>
      </c>
      <c r="P34">
        <v>22</v>
      </c>
      <c r="Q34" t="s">
        <v>174</v>
      </c>
      <c r="R34">
        <v>1</v>
      </c>
      <c r="S34">
        <v>1</v>
      </c>
      <c r="T34">
        <v>100</v>
      </c>
      <c r="U34">
        <v>0</v>
      </c>
      <c r="V34">
        <v>1</v>
      </c>
      <c r="W34">
        <v>1</v>
      </c>
      <c r="Z34">
        <v>15</v>
      </c>
      <c r="AA34">
        <v>15</v>
      </c>
      <c r="AB34">
        <v>20</v>
      </c>
      <c r="AC34">
        <v>0</v>
      </c>
      <c r="AD34">
        <v>0</v>
      </c>
      <c r="AE34">
        <v>15</v>
      </c>
      <c r="AG34">
        <v>65</v>
      </c>
      <c r="AH34">
        <v>0</v>
      </c>
      <c r="AI34">
        <v>81.25</v>
      </c>
      <c r="AJ34">
        <v>81.25</v>
      </c>
    </row>
    <row r="35" spans="1:36" x14ac:dyDescent="0.25">
      <c r="A35" t="s">
        <v>165</v>
      </c>
      <c r="B35" t="s">
        <v>16</v>
      </c>
      <c r="C35">
        <v>8351903</v>
      </c>
      <c r="D35" t="s">
        <v>45</v>
      </c>
      <c r="E35" t="s">
        <v>166</v>
      </c>
      <c r="F35" t="s">
        <v>167</v>
      </c>
      <c r="G35">
        <v>7886002764</v>
      </c>
      <c r="H35" t="s">
        <v>177</v>
      </c>
      <c r="I35" t="s">
        <v>18</v>
      </c>
      <c r="J35" t="s">
        <v>169</v>
      </c>
      <c r="K35" t="s">
        <v>34</v>
      </c>
      <c r="L35" t="s">
        <v>182</v>
      </c>
      <c r="M35" t="s">
        <v>171</v>
      </c>
      <c r="N35" t="s">
        <v>172</v>
      </c>
      <c r="O35" t="s">
        <v>173</v>
      </c>
      <c r="P35">
        <v>47</v>
      </c>
      <c r="Q35" t="s">
        <v>174</v>
      </c>
      <c r="R35">
        <v>1</v>
      </c>
      <c r="S35">
        <v>1</v>
      </c>
      <c r="T35">
        <v>70</v>
      </c>
      <c r="U35">
        <v>0</v>
      </c>
      <c r="V35">
        <v>1</v>
      </c>
      <c r="W35">
        <v>1</v>
      </c>
      <c r="Z35">
        <v>15</v>
      </c>
      <c r="AA35">
        <v>15</v>
      </c>
      <c r="AB35">
        <v>20</v>
      </c>
      <c r="AC35">
        <v>0</v>
      </c>
      <c r="AD35">
        <v>0</v>
      </c>
      <c r="AE35">
        <v>15</v>
      </c>
      <c r="AG35">
        <v>65</v>
      </c>
      <c r="AH35">
        <v>0</v>
      </c>
      <c r="AI35">
        <v>81.25</v>
      </c>
      <c r="AJ35">
        <v>81.25</v>
      </c>
    </row>
    <row r="36" spans="1:36" x14ac:dyDescent="0.25">
      <c r="A36" t="s">
        <v>165</v>
      </c>
      <c r="B36" t="s">
        <v>16</v>
      </c>
      <c r="C36">
        <v>8351903</v>
      </c>
      <c r="D36" t="s">
        <v>45</v>
      </c>
      <c r="E36" t="s">
        <v>166</v>
      </c>
      <c r="F36" t="s">
        <v>167</v>
      </c>
      <c r="G36">
        <v>7886002765</v>
      </c>
      <c r="H36" t="s">
        <v>177</v>
      </c>
      <c r="I36" t="s">
        <v>18</v>
      </c>
      <c r="J36" t="s">
        <v>169</v>
      </c>
      <c r="K36" t="s">
        <v>34</v>
      </c>
      <c r="L36" t="s">
        <v>182</v>
      </c>
      <c r="M36" t="s">
        <v>171</v>
      </c>
      <c r="N36" t="s">
        <v>172</v>
      </c>
      <c r="O36" t="s">
        <v>173</v>
      </c>
      <c r="P36">
        <v>40</v>
      </c>
      <c r="Q36" t="s">
        <v>174</v>
      </c>
      <c r="R36">
        <v>1</v>
      </c>
      <c r="S36">
        <v>1</v>
      </c>
      <c r="T36">
        <v>85.71428571428571</v>
      </c>
      <c r="U36">
        <v>0</v>
      </c>
      <c r="V36">
        <v>1</v>
      </c>
      <c r="W36">
        <v>1</v>
      </c>
      <c r="Z36">
        <v>15</v>
      </c>
      <c r="AA36">
        <v>15</v>
      </c>
      <c r="AB36">
        <v>20</v>
      </c>
      <c r="AC36">
        <v>0</v>
      </c>
      <c r="AD36">
        <v>0</v>
      </c>
      <c r="AE36">
        <v>15</v>
      </c>
      <c r="AG36">
        <v>65</v>
      </c>
      <c r="AH36">
        <v>0</v>
      </c>
      <c r="AI36">
        <v>81.25</v>
      </c>
      <c r="AJ36">
        <v>81.25</v>
      </c>
    </row>
    <row r="37" spans="1:36" x14ac:dyDescent="0.25">
      <c r="A37" t="s">
        <v>165</v>
      </c>
      <c r="B37" t="s">
        <v>16</v>
      </c>
      <c r="C37">
        <v>8215895</v>
      </c>
      <c r="D37" t="s">
        <v>122</v>
      </c>
      <c r="E37" t="s">
        <v>166</v>
      </c>
      <c r="F37" t="s">
        <v>167</v>
      </c>
      <c r="G37">
        <v>7886001393</v>
      </c>
      <c r="H37" t="s">
        <v>168</v>
      </c>
      <c r="I37" t="s">
        <v>18</v>
      </c>
      <c r="J37" t="s">
        <v>169</v>
      </c>
      <c r="K37" t="s">
        <v>123</v>
      </c>
      <c r="L37" t="s">
        <v>170</v>
      </c>
      <c r="M37" t="s">
        <v>183</v>
      </c>
      <c r="N37" t="s">
        <v>172</v>
      </c>
      <c r="O37" t="s">
        <v>173</v>
      </c>
      <c r="P37">
        <v>274</v>
      </c>
      <c r="Q37" t="s">
        <v>174</v>
      </c>
      <c r="R37">
        <v>1</v>
      </c>
      <c r="S37">
        <v>1</v>
      </c>
      <c r="T37">
        <v>80.76923076923077</v>
      </c>
      <c r="U37">
        <v>0</v>
      </c>
      <c r="V37">
        <v>1</v>
      </c>
      <c r="W37">
        <v>1</v>
      </c>
      <c r="Z37">
        <v>15</v>
      </c>
      <c r="AA37">
        <v>15</v>
      </c>
      <c r="AB37">
        <v>20</v>
      </c>
      <c r="AC37">
        <v>0</v>
      </c>
      <c r="AD37">
        <v>0</v>
      </c>
      <c r="AE37">
        <v>15</v>
      </c>
      <c r="AG37">
        <v>65</v>
      </c>
      <c r="AH37">
        <v>0</v>
      </c>
      <c r="AI37">
        <v>81.25</v>
      </c>
      <c r="AJ37">
        <v>81.25</v>
      </c>
    </row>
    <row r="38" spans="1:36" x14ac:dyDescent="0.25">
      <c r="A38" t="s">
        <v>165</v>
      </c>
      <c r="B38" t="s">
        <v>16</v>
      </c>
      <c r="C38">
        <v>2278119</v>
      </c>
      <c r="D38" t="s">
        <v>65</v>
      </c>
      <c r="E38" t="s">
        <v>166</v>
      </c>
      <c r="F38" t="s">
        <v>167</v>
      </c>
      <c r="G38">
        <v>7886002383</v>
      </c>
      <c r="H38" t="s">
        <v>177</v>
      </c>
      <c r="I38" t="s">
        <v>18</v>
      </c>
      <c r="J38" t="s">
        <v>169</v>
      </c>
      <c r="K38" t="s">
        <v>137</v>
      </c>
      <c r="L38" t="s">
        <v>170</v>
      </c>
      <c r="M38" t="s">
        <v>183</v>
      </c>
      <c r="N38" t="s">
        <v>172</v>
      </c>
      <c r="O38" t="s">
        <v>173</v>
      </c>
      <c r="P38">
        <v>48</v>
      </c>
      <c r="Q38" t="s">
        <v>174</v>
      </c>
      <c r="R38">
        <v>1</v>
      </c>
      <c r="S38">
        <v>1</v>
      </c>
      <c r="T38">
        <v>100</v>
      </c>
      <c r="U38">
        <v>0</v>
      </c>
      <c r="V38">
        <v>1</v>
      </c>
      <c r="W38">
        <v>1</v>
      </c>
      <c r="Z38">
        <v>15</v>
      </c>
      <c r="AA38">
        <v>15</v>
      </c>
      <c r="AB38">
        <v>20</v>
      </c>
      <c r="AC38">
        <v>0</v>
      </c>
      <c r="AD38">
        <v>0</v>
      </c>
      <c r="AE38">
        <v>15</v>
      </c>
      <c r="AG38">
        <v>65</v>
      </c>
      <c r="AH38">
        <v>0</v>
      </c>
      <c r="AI38">
        <v>81.25</v>
      </c>
      <c r="AJ38">
        <v>81.25</v>
      </c>
    </row>
    <row r="39" spans="1:36" x14ac:dyDescent="0.25">
      <c r="A39" t="s">
        <v>165</v>
      </c>
      <c r="B39" t="s">
        <v>16</v>
      </c>
      <c r="C39">
        <v>3489862</v>
      </c>
      <c r="D39" t="s">
        <v>67</v>
      </c>
      <c r="E39" t="s">
        <v>166</v>
      </c>
      <c r="F39" t="s">
        <v>167</v>
      </c>
      <c r="G39">
        <v>7886002384</v>
      </c>
      <c r="H39" t="s">
        <v>177</v>
      </c>
      <c r="I39" t="s">
        <v>18</v>
      </c>
      <c r="J39" t="s">
        <v>169</v>
      </c>
      <c r="K39" t="s">
        <v>138</v>
      </c>
      <c r="L39" t="s">
        <v>170</v>
      </c>
      <c r="M39" t="s">
        <v>183</v>
      </c>
      <c r="N39" t="s">
        <v>172</v>
      </c>
      <c r="O39" t="s">
        <v>173</v>
      </c>
      <c r="P39">
        <v>145</v>
      </c>
      <c r="Q39" t="s">
        <v>174</v>
      </c>
      <c r="R39">
        <v>1</v>
      </c>
      <c r="S39">
        <v>1</v>
      </c>
      <c r="T39">
        <v>79.16666666666666</v>
      </c>
      <c r="U39">
        <v>0</v>
      </c>
      <c r="V39">
        <v>1</v>
      </c>
      <c r="W39">
        <v>1</v>
      </c>
      <c r="Z39">
        <v>15</v>
      </c>
      <c r="AA39">
        <v>15</v>
      </c>
      <c r="AB39">
        <v>20</v>
      </c>
      <c r="AC39">
        <v>0</v>
      </c>
      <c r="AD39">
        <v>0</v>
      </c>
      <c r="AE39">
        <v>15</v>
      </c>
      <c r="AG39">
        <v>65</v>
      </c>
      <c r="AH39">
        <v>0</v>
      </c>
      <c r="AI39">
        <v>81.25</v>
      </c>
      <c r="AJ39">
        <v>81.25</v>
      </c>
    </row>
    <row r="40" spans="1:36" x14ac:dyDescent="0.25">
      <c r="A40" t="s">
        <v>165</v>
      </c>
      <c r="B40" t="s">
        <v>16</v>
      </c>
      <c r="C40">
        <v>9203500</v>
      </c>
      <c r="D40" t="s">
        <v>28</v>
      </c>
      <c r="E40" t="s">
        <v>166</v>
      </c>
      <c r="F40" t="s">
        <v>184</v>
      </c>
      <c r="G40">
        <v>7886002667</v>
      </c>
      <c r="H40" t="s">
        <v>177</v>
      </c>
      <c r="I40" t="s">
        <v>18</v>
      </c>
      <c r="J40" t="s">
        <v>185</v>
      </c>
      <c r="K40" t="s">
        <v>34</v>
      </c>
      <c r="L40" t="s">
        <v>182</v>
      </c>
      <c r="M40" t="s">
        <v>171</v>
      </c>
      <c r="N40" t="s">
        <v>172</v>
      </c>
      <c r="O40" t="s">
        <v>175</v>
      </c>
      <c r="P40">
        <v>142</v>
      </c>
      <c r="Q40" t="s">
        <v>174</v>
      </c>
      <c r="R40">
        <v>1</v>
      </c>
      <c r="S40">
        <v>1</v>
      </c>
      <c r="T40">
        <v>15.384615384615385</v>
      </c>
      <c r="U40">
        <v>0.25</v>
      </c>
      <c r="V40">
        <v>0.022123893805309734</v>
      </c>
      <c r="W40">
        <v>0.91666666666667</v>
      </c>
      <c r="X40">
        <v>0.6</v>
      </c>
      <c r="Z40">
        <v>15</v>
      </c>
      <c r="AA40">
        <v>15</v>
      </c>
      <c r="AB40">
        <v>0</v>
      </c>
      <c r="AC40">
        <v>3.75</v>
      </c>
      <c r="AD40">
        <v>10</v>
      </c>
      <c r="AE40">
        <v>13.75000000000005</v>
      </c>
      <c r="AG40">
        <v>57.50000000000005</v>
      </c>
      <c r="AH40">
        <v>9</v>
      </c>
      <c r="AI40">
        <v>71.87500000000006</v>
      </c>
      <c r="AJ40">
        <v>80.87500000000006</v>
      </c>
    </row>
    <row r="41" spans="1:36" x14ac:dyDescent="0.25">
      <c r="A41" t="s">
        <v>165</v>
      </c>
      <c r="B41" t="s">
        <v>16</v>
      </c>
      <c r="C41">
        <v>9203499</v>
      </c>
      <c r="D41" t="s">
        <v>28</v>
      </c>
      <c r="E41" t="s">
        <v>166</v>
      </c>
      <c r="F41" t="s">
        <v>167</v>
      </c>
      <c r="G41">
        <v>7886002795</v>
      </c>
      <c r="H41" t="s">
        <v>177</v>
      </c>
      <c r="I41" t="s">
        <v>18</v>
      </c>
      <c r="J41" t="s">
        <v>169</v>
      </c>
      <c r="K41" t="s">
        <v>103</v>
      </c>
      <c r="L41" t="s">
        <v>170</v>
      </c>
      <c r="M41" t="s">
        <v>183</v>
      </c>
      <c r="N41" t="s">
        <v>172</v>
      </c>
      <c r="O41" t="s">
        <v>173</v>
      </c>
      <c r="P41">
        <v>104</v>
      </c>
      <c r="Q41" t="s">
        <v>174</v>
      </c>
      <c r="R41">
        <v>1</v>
      </c>
      <c r="S41">
        <v>1</v>
      </c>
      <c r="T41">
        <v>90</v>
      </c>
      <c r="U41">
        <v>0</v>
      </c>
      <c r="V41">
        <v>1</v>
      </c>
      <c r="W41">
        <v>0.96153846153846</v>
      </c>
      <c r="Z41">
        <v>15</v>
      </c>
      <c r="AA41">
        <v>15</v>
      </c>
      <c r="AB41">
        <v>20</v>
      </c>
      <c r="AC41">
        <v>0</v>
      </c>
      <c r="AD41">
        <v>0</v>
      </c>
      <c r="AE41">
        <v>14.4230769230769</v>
      </c>
      <c r="AG41">
        <v>64.4230769230769</v>
      </c>
      <c r="AH41">
        <v>0</v>
      </c>
      <c r="AI41">
        <v>80.52884615384613</v>
      </c>
      <c r="AJ41">
        <v>80.52884615384613</v>
      </c>
    </row>
    <row r="42" spans="1:36" x14ac:dyDescent="0.25">
      <c r="A42" t="s">
        <v>165</v>
      </c>
      <c r="B42" t="s">
        <v>16</v>
      </c>
      <c r="C42">
        <v>1390788</v>
      </c>
      <c r="D42" t="s">
        <v>47</v>
      </c>
      <c r="E42" t="s">
        <v>166</v>
      </c>
      <c r="F42" t="s">
        <v>167</v>
      </c>
      <c r="G42">
        <v>7886001750</v>
      </c>
      <c r="H42" t="s">
        <v>177</v>
      </c>
      <c r="I42" t="s">
        <v>18</v>
      </c>
      <c r="J42" t="s">
        <v>169</v>
      </c>
      <c r="K42" t="s">
        <v>130</v>
      </c>
      <c r="L42" t="s">
        <v>170</v>
      </c>
      <c r="M42" t="s">
        <v>183</v>
      </c>
      <c r="N42" t="s">
        <v>172</v>
      </c>
      <c r="O42" t="s">
        <v>173</v>
      </c>
      <c r="P42">
        <v>348</v>
      </c>
      <c r="Q42" t="s">
        <v>174</v>
      </c>
      <c r="R42">
        <v>1</v>
      </c>
      <c r="S42">
        <v>1</v>
      </c>
      <c r="T42">
        <v>77.5</v>
      </c>
      <c r="U42">
        <v>0</v>
      </c>
      <c r="V42">
        <v>1</v>
      </c>
      <c r="W42">
        <v>0.96153846153846</v>
      </c>
      <c r="Z42">
        <v>15</v>
      </c>
      <c r="AA42">
        <v>15</v>
      </c>
      <c r="AB42">
        <v>20</v>
      </c>
      <c r="AC42">
        <v>0</v>
      </c>
      <c r="AD42">
        <v>0</v>
      </c>
      <c r="AE42">
        <v>14.4230769230769</v>
      </c>
      <c r="AG42">
        <v>64.4230769230769</v>
      </c>
      <c r="AH42">
        <v>0</v>
      </c>
      <c r="AI42">
        <v>80.52884615384613</v>
      </c>
      <c r="AJ42">
        <v>80.52884615384613</v>
      </c>
    </row>
    <row r="43" spans="1:36" x14ac:dyDescent="0.25">
      <c r="A43" t="s">
        <v>165</v>
      </c>
      <c r="B43" t="s">
        <v>16</v>
      </c>
      <c r="C43">
        <v>8215895</v>
      </c>
      <c r="D43" t="s">
        <v>122</v>
      </c>
      <c r="E43" t="s">
        <v>166</v>
      </c>
      <c r="F43" t="s">
        <v>167</v>
      </c>
      <c r="G43">
        <v>7886002371</v>
      </c>
      <c r="H43" t="s">
        <v>168</v>
      </c>
      <c r="I43" t="s">
        <v>18</v>
      </c>
      <c r="J43" t="s">
        <v>169</v>
      </c>
      <c r="K43" t="s">
        <v>134</v>
      </c>
      <c r="L43" t="s">
        <v>170</v>
      </c>
      <c r="M43" t="s">
        <v>183</v>
      </c>
      <c r="N43" t="s">
        <v>172</v>
      </c>
      <c r="O43" t="s">
        <v>173</v>
      </c>
      <c r="P43">
        <v>65</v>
      </c>
      <c r="Q43" t="s">
        <v>174</v>
      </c>
      <c r="R43">
        <v>1</v>
      </c>
      <c r="S43">
        <v>1</v>
      </c>
      <c r="T43">
        <v>100</v>
      </c>
      <c r="U43">
        <v>0</v>
      </c>
      <c r="V43">
        <v>1</v>
      </c>
      <c r="W43">
        <v>0.9090909090909101</v>
      </c>
      <c r="Z43">
        <v>15</v>
      </c>
      <c r="AA43">
        <v>15</v>
      </c>
      <c r="AB43">
        <v>20</v>
      </c>
      <c r="AC43">
        <v>0</v>
      </c>
      <c r="AD43">
        <v>0</v>
      </c>
      <c r="AE43">
        <v>13.636363636363651</v>
      </c>
      <c r="AG43">
        <v>63.636363636363654</v>
      </c>
      <c r="AH43">
        <v>0</v>
      </c>
      <c r="AI43">
        <v>79.54545454545456</v>
      </c>
      <c r="AJ43">
        <v>79.54545454545456</v>
      </c>
    </row>
    <row r="44" spans="1:36" x14ac:dyDescent="0.25">
      <c r="A44" t="s">
        <v>165</v>
      </c>
      <c r="B44" t="s">
        <v>16</v>
      </c>
      <c r="C44">
        <v>5797725</v>
      </c>
      <c r="D44" t="s">
        <v>72</v>
      </c>
      <c r="E44" t="s">
        <v>166</v>
      </c>
      <c r="F44" t="s">
        <v>167</v>
      </c>
      <c r="G44">
        <v>7886002545</v>
      </c>
      <c r="H44" t="s">
        <v>177</v>
      </c>
      <c r="I44" t="s">
        <v>18</v>
      </c>
      <c r="J44" t="s">
        <v>169</v>
      </c>
      <c r="K44" t="s">
        <v>79</v>
      </c>
      <c r="L44" t="s">
        <v>178</v>
      </c>
      <c r="M44" t="s">
        <v>171</v>
      </c>
      <c r="N44" t="s">
        <v>172</v>
      </c>
      <c r="O44" t="s">
        <v>176</v>
      </c>
      <c r="P44">
        <v>40</v>
      </c>
      <c r="Q44" t="s">
        <v>174</v>
      </c>
      <c r="R44">
        <v>1</v>
      </c>
      <c r="S44">
        <v>1</v>
      </c>
      <c r="T44">
        <v>0</v>
      </c>
      <c r="U44">
        <v>0.5</v>
      </c>
      <c r="V44">
        <v>0.01991150442477876</v>
      </c>
      <c r="W44">
        <v>0</v>
      </c>
      <c r="X44">
        <v>0.9</v>
      </c>
      <c r="Z44">
        <v>15</v>
      </c>
      <c r="AA44">
        <v>15</v>
      </c>
      <c r="AB44">
        <v>0</v>
      </c>
      <c r="AC44">
        <v>7.5</v>
      </c>
      <c r="AD44">
        <v>15</v>
      </c>
      <c r="AE44">
        <v>0</v>
      </c>
      <c r="AG44">
        <v>52.5</v>
      </c>
      <c r="AH44">
        <v>13.5</v>
      </c>
      <c r="AI44">
        <v>65.625</v>
      </c>
      <c r="AJ44">
        <v>79.125</v>
      </c>
    </row>
    <row r="45" spans="1:36" x14ac:dyDescent="0.25">
      <c r="A45" t="s">
        <v>165</v>
      </c>
      <c r="B45" t="s">
        <v>16</v>
      </c>
      <c r="C45">
        <v>1390788</v>
      </c>
      <c r="D45" t="s">
        <v>47</v>
      </c>
      <c r="E45" t="s">
        <v>166</v>
      </c>
      <c r="F45" t="s">
        <v>167</v>
      </c>
      <c r="G45">
        <v>7886002272</v>
      </c>
      <c r="H45" t="s">
        <v>177</v>
      </c>
      <c r="I45" t="s">
        <v>18</v>
      </c>
      <c r="J45" t="s">
        <v>169</v>
      </c>
      <c r="K45" t="s">
        <v>117</v>
      </c>
      <c r="L45" t="s">
        <v>170</v>
      </c>
      <c r="M45" t="s">
        <v>183</v>
      </c>
      <c r="N45" t="s">
        <v>172</v>
      </c>
      <c r="O45" t="s">
        <v>173</v>
      </c>
      <c r="P45">
        <v>158</v>
      </c>
      <c r="Q45" t="s">
        <v>174</v>
      </c>
      <c r="R45">
        <v>1</v>
      </c>
      <c r="S45">
        <v>1</v>
      </c>
      <c r="T45">
        <v>65.21739130434783</v>
      </c>
      <c r="U45">
        <v>0</v>
      </c>
      <c r="V45">
        <v>1</v>
      </c>
      <c r="W45">
        <v>0.97222222222222</v>
      </c>
      <c r="Z45">
        <v>15</v>
      </c>
      <c r="AA45">
        <v>15</v>
      </c>
      <c r="AB45">
        <v>18</v>
      </c>
      <c r="AC45">
        <v>0</v>
      </c>
      <c r="AD45">
        <v>0</v>
      </c>
      <c r="AE45">
        <v>14.5833333333333</v>
      </c>
      <c r="AG45">
        <v>62.5833333333333</v>
      </c>
      <c r="AH45">
        <v>0</v>
      </c>
      <c r="AI45">
        <v>78.22916666666663</v>
      </c>
      <c r="AJ45">
        <v>78.22916666666663</v>
      </c>
    </row>
    <row r="46" spans="1:36" x14ac:dyDescent="0.25">
      <c r="A46" t="s">
        <v>165</v>
      </c>
      <c r="B46" t="s">
        <v>16</v>
      </c>
      <c r="C46">
        <v>9203499</v>
      </c>
      <c r="D46" t="s">
        <v>28</v>
      </c>
      <c r="E46" t="s">
        <v>166</v>
      </c>
      <c r="F46" t="s">
        <v>167</v>
      </c>
      <c r="G46">
        <v>7886002842</v>
      </c>
      <c r="H46" t="s">
        <v>177</v>
      </c>
      <c r="I46" t="s">
        <v>18</v>
      </c>
      <c r="J46" t="s">
        <v>169</v>
      </c>
      <c r="K46" t="s">
        <v>34</v>
      </c>
      <c r="L46" t="s">
        <v>182</v>
      </c>
      <c r="M46" t="s">
        <v>183</v>
      </c>
      <c r="N46" t="s">
        <v>172</v>
      </c>
      <c r="O46" t="s">
        <v>173</v>
      </c>
      <c r="P46">
        <v>126</v>
      </c>
      <c r="Q46" t="s">
        <v>174</v>
      </c>
      <c r="R46">
        <v>1</v>
      </c>
      <c r="S46">
        <v>1</v>
      </c>
      <c r="T46">
        <v>66.66666666666666</v>
      </c>
      <c r="U46">
        <v>0</v>
      </c>
      <c r="V46">
        <v>1</v>
      </c>
      <c r="W46">
        <v>0.95833333333333</v>
      </c>
      <c r="Z46">
        <v>15</v>
      </c>
      <c r="AA46">
        <v>15</v>
      </c>
      <c r="AB46">
        <v>18</v>
      </c>
      <c r="AC46">
        <v>0</v>
      </c>
      <c r="AD46">
        <v>0</v>
      </c>
      <c r="AE46">
        <v>14.37499999999995</v>
      </c>
      <c r="AG46">
        <v>62.37499999999995</v>
      </c>
      <c r="AH46">
        <v>0</v>
      </c>
      <c r="AI46">
        <v>77.96874999999994</v>
      </c>
      <c r="AJ46">
        <v>77.96874999999994</v>
      </c>
    </row>
    <row r="47" spans="1:36" x14ac:dyDescent="0.25">
      <c r="A47" t="s">
        <v>165</v>
      </c>
      <c r="B47" t="s">
        <v>16</v>
      </c>
      <c r="C47">
        <v>5797725</v>
      </c>
      <c r="D47" t="s">
        <v>72</v>
      </c>
      <c r="E47" t="s">
        <v>166</v>
      </c>
      <c r="F47" t="s">
        <v>167</v>
      </c>
      <c r="G47">
        <v>7886002543</v>
      </c>
      <c r="H47" t="s">
        <v>187</v>
      </c>
      <c r="I47" t="s">
        <v>18</v>
      </c>
      <c r="J47" t="s">
        <v>169</v>
      </c>
      <c r="K47" t="s">
        <v>77</v>
      </c>
      <c r="L47" t="s">
        <v>178</v>
      </c>
      <c r="M47" t="s">
        <v>171</v>
      </c>
      <c r="N47" t="s">
        <v>172</v>
      </c>
      <c r="O47" t="s">
        <v>176</v>
      </c>
      <c r="P47">
        <v>22</v>
      </c>
      <c r="Q47" t="s">
        <v>174</v>
      </c>
      <c r="R47">
        <v>1</v>
      </c>
      <c r="S47">
        <v>1</v>
      </c>
      <c r="T47">
        <v>100</v>
      </c>
      <c r="U47">
        <v>0</v>
      </c>
      <c r="V47">
        <v>1</v>
      </c>
      <c r="W47">
        <v>0</v>
      </c>
      <c r="X47">
        <v>1</v>
      </c>
      <c r="Z47">
        <v>15</v>
      </c>
      <c r="AA47">
        <v>15</v>
      </c>
      <c r="AB47">
        <v>20</v>
      </c>
      <c r="AC47">
        <v>0</v>
      </c>
      <c r="AD47">
        <v>0</v>
      </c>
      <c r="AE47">
        <v>0</v>
      </c>
      <c r="AG47">
        <v>50</v>
      </c>
      <c r="AH47">
        <v>15</v>
      </c>
      <c r="AI47">
        <v>62.5</v>
      </c>
      <c r="AJ47">
        <v>77.5</v>
      </c>
    </row>
    <row r="48" spans="1:36" x14ac:dyDescent="0.25">
      <c r="A48" t="s">
        <v>165</v>
      </c>
      <c r="B48" t="s">
        <v>16</v>
      </c>
      <c r="C48">
        <v>8396105</v>
      </c>
      <c r="D48" t="s">
        <v>26</v>
      </c>
      <c r="E48" t="s">
        <v>166</v>
      </c>
      <c r="F48" t="s">
        <v>167</v>
      </c>
      <c r="G48">
        <v>7886000561</v>
      </c>
      <c r="H48" t="s">
        <v>187</v>
      </c>
      <c r="I48" t="s">
        <v>18</v>
      </c>
      <c r="J48" t="s">
        <v>169</v>
      </c>
      <c r="K48" t="s">
        <v>96</v>
      </c>
      <c r="L48" t="s">
        <v>170</v>
      </c>
      <c r="M48" t="s">
        <v>171</v>
      </c>
      <c r="N48" t="s">
        <v>172</v>
      </c>
      <c r="O48" t="s">
        <v>176</v>
      </c>
      <c r="P48">
        <v>22</v>
      </c>
      <c r="Q48" t="s">
        <v>174</v>
      </c>
      <c r="R48">
        <v>0</v>
      </c>
      <c r="S48">
        <v>1</v>
      </c>
      <c r="T48">
        <v>100</v>
      </c>
      <c r="U48">
        <v>0</v>
      </c>
      <c r="V48">
        <v>0.011061946902654867</v>
      </c>
      <c r="W48">
        <v>0</v>
      </c>
      <c r="X48">
        <v>1</v>
      </c>
      <c r="Z48">
        <v>0</v>
      </c>
      <c r="AA48">
        <v>15</v>
      </c>
      <c r="AB48">
        <v>20</v>
      </c>
      <c r="AC48">
        <v>0</v>
      </c>
      <c r="AD48">
        <v>15</v>
      </c>
      <c r="AE48">
        <v>0</v>
      </c>
      <c r="AG48">
        <v>50</v>
      </c>
      <c r="AH48">
        <v>15</v>
      </c>
      <c r="AI48">
        <v>62.5</v>
      </c>
      <c r="AJ48">
        <v>77.5</v>
      </c>
    </row>
    <row r="49" spans="1:36" x14ac:dyDescent="0.25">
      <c r="A49" t="s">
        <v>165</v>
      </c>
      <c r="B49" t="s">
        <v>16</v>
      </c>
      <c r="C49">
        <v>8351903</v>
      </c>
      <c r="D49" t="s">
        <v>45</v>
      </c>
      <c r="E49" t="s">
        <v>166</v>
      </c>
      <c r="F49" t="s">
        <v>167</v>
      </c>
      <c r="G49">
        <v>7886002801</v>
      </c>
      <c r="H49" t="s">
        <v>177</v>
      </c>
      <c r="I49" t="s">
        <v>18</v>
      </c>
      <c r="J49" t="s">
        <v>169</v>
      </c>
      <c r="K49" t="s">
        <v>34</v>
      </c>
      <c r="L49" t="s">
        <v>182</v>
      </c>
      <c r="M49" t="s">
        <v>171</v>
      </c>
      <c r="N49" t="s">
        <v>172</v>
      </c>
      <c r="O49" t="s">
        <v>176</v>
      </c>
      <c r="P49">
        <v>84</v>
      </c>
      <c r="Q49" t="s">
        <v>174</v>
      </c>
      <c r="R49">
        <v>0</v>
      </c>
      <c r="S49">
        <v>1</v>
      </c>
      <c r="T49">
        <v>100</v>
      </c>
      <c r="U49">
        <v>0</v>
      </c>
      <c r="V49">
        <v>0.00663716814159292</v>
      </c>
      <c r="W49">
        <v>0</v>
      </c>
      <c r="X49">
        <v>1</v>
      </c>
      <c r="Z49">
        <v>0</v>
      </c>
      <c r="AA49">
        <v>15</v>
      </c>
      <c r="AB49">
        <v>20</v>
      </c>
      <c r="AC49">
        <v>0</v>
      </c>
      <c r="AD49">
        <v>15</v>
      </c>
      <c r="AE49">
        <v>0</v>
      </c>
      <c r="AG49">
        <v>50</v>
      </c>
      <c r="AH49">
        <v>15</v>
      </c>
      <c r="AI49">
        <v>62.5</v>
      </c>
      <c r="AJ49">
        <v>77.5</v>
      </c>
    </row>
    <row r="50" spans="1:36" x14ac:dyDescent="0.25">
      <c r="A50" t="s">
        <v>165</v>
      </c>
      <c r="B50" t="s">
        <v>16</v>
      </c>
      <c r="C50">
        <v>8396105</v>
      </c>
      <c r="D50" t="s">
        <v>26</v>
      </c>
      <c r="E50" t="s">
        <v>166</v>
      </c>
      <c r="F50" t="s">
        <v>167</v>
      </c>
      <c r="G50">
        <v>7886001053</v>
      </c>
      <c r="H50" t="s">
        <v>177</v>
      </c>
      <c r="I50" t="s">
        <v>18</v>
      </c>
      <c r="J50" t="s">
        <v>169</v>
      </c>
      <c r="K50" t="s">
        <v>125</v>
      </c>
      <c r="L50" t="s">
        <v>170</v>
      </c>
      <c r="M50" t="s">
        <v>171</v>
      </c>
      <c r="N50" t="s">
        <v>172</v>
      </c>
      <c r="O50" t="s">
        <v>176</v>
      </c>
      <c r="P50">
        <v>34</v>
      </c>
      <c r="Q50" t="s">
        <v>174</v>
      </c>
      <c r="R50">
        <v>0</v>
      </c>
      <c r="S50">
        <v>1</v>
      </c>
      <c r="T50">
        <v>100</v>
      </c>
      <c r="U50">
        <v>0</v>
      </c>
      <c r="V50">
        <v>0.0022123893805309734</v>
      </c>
      <c r="W50">
        <v>0</v>
      </c>
      <c r="X50">
        <v>1</v>
      </c>
      <c r="Z50">
        <v>0</v>
      </c>
      <c r="AA50">
        <v>15</v>
      </c>
      <c r="AB50">
        <v>20</v>
      </c>
      <c r="AC50">
        <v>0</v>
      </c>
      <c r="AD50">
        <v>15</v>
      </c>
      <c r="AE50">
        <v>0</v>
      </c>
      <c r="AG50">
        <v>50</v>
      </c>
      <c r="AH50">
        <v>15</v>
      </c>
      <c r="AI50">
        <v>62.5</v>
      </c>
      <c r="AJ50">
        <v>77.5</v>
      </c>
    </row>
    <row r="51" spans="1:36" x14ac:dyDescent="0.25">
      <c r="A51" t="s">
        <v>165</v>
      </c>
      <c r="B51" t="s">
        <v>16</v>
      </c>
      <c r="C51">
        <v>5797725</v>
      </c>
      <c r="D51" t="s">
        <v>72</v>
      </c>
      <c r="E51" t="s">
        <v>166</v>
      </c>
      <c r="F51" t="s">
        <v>167</v>
      </c>
      <c r="G51">
        <v>7886002643</v>
      </c>
      <c r="H51" t="s">
        <v>187</v>
      </c>
      <c r="I51" t="s">
        <v>18</v>
      </c>
      <c r="J51" t="s">
        <v>169</v>
      </c>
      <c r="K51" t="s">
        <v>80</v>
      </c>
      <c r="L51" t="s">
        <v>170</v>
      </c>
      <c r="M51" t="s">
        <v>171</v>
      </c>
      <c r="N51" t="s">
        <v>172</v>
      </c>
      <c r="O51" t="s">
        <v>176</v>
      </c>
      <c r="P51">
        <v>138</v>
      </c>
      <c r="Q51" t="s">
        <v>174</v>
      </c>
      <c r="R51">
        <v>1</v>
      </c>
      <c r="S51">
        <v>1</v>
      </c>
      <c r="T51">
        <v>0</v>
      </c>
      <c r="U51">
        <v>0.3076923076923077</v>
      </c>
      <c r="V51">
        <v>0.0022123893805309734</v>
      </c>
      <c r="W51">
        <v>0</v>
      </c>
      <c r="X51">
        <v>0.9375</v>
      </c>
      <c r="Z51">
        <v>15</v>
      </c>
      <c r="AA51">
        <v>15</v>
      </c>
      <c r="AB51">
        <v>0</v>
      </c>
      <c r="AC51">
        <v>4.615384615384616</v>
      </c>
      <c r="AD51">
        <v>15</v>
      </c>
      <c r="AE51">
        <v>0</v>
      </c>
      <c r="AG51">
        <v>49.61538461538461</v>
      </c>
      <c r="AH51">
        <v>14.0625</v>
      </c>
      <c r="AI51">
        <v>62.01923076923077</v>
      </c>
      <c r="AJ51">
        <v>76.08173076923077</v>
      </c>
    </row>
    <row r="52" spans="1:36" x14ac:dyDescent="0.25">
      <c r="A52" t="s">
        <v>165</v>
      </c>
      <c r="B52" t="s">
        <v>16</v>
      </c>
      <c r="C52">
        <v>8351903</v>
      </c>
      <c r="D52" t="s">
        <v>45</v>
      </c>
      <c r="E52" t="s">
        <v>166</v>
      </c>
      <c r="F52" t="s">
        <v>167</v>
      </c>
      <c r="G52">
        <v>7886002754</v>
      </c>
      <c r="H52" t="s">
        <v>187</v>
      </c>
      <c r="I52" t="s">
        <v>18</v>
      </c>
      <c r="J52" t="s">
        <v>169</v>
      </c>
      <c r="K52" t="s">
        <v>34</v>
      </c>
      <c r="L52" t="s">
        <v>182</v>
      </c>
      <c r="M52" t="s">
        <v>171</v>
      </c>
      <c r="N52" t="s">
        <v>172</v>
      </c>
      <c r="O52" t="s">
        <v>176</v>
      </c>
      <c r="P52">
        <v>38</v>
      </c>
      <c r="Q52" t="s">
        <v>174</v>
      </c>
      <c r="R52">
        <v>1</v>
      </c>
      <c r="S52">
        <v>1</v>
      </c>
      <c r="T52">
        <v>100</v>
      </c>
      <c r="U52">
        <v>0</v>
      </c>
      <c r="V52">
        <v>1</v>
      </c>
      <c r="W52">
        <v>0</v>
      </c>
      <c r="X52">
        <v>0.8333333333333334</v>
      </c>
      <c r="Z52">
        <v>15</v>
      </c>
      <c r="AA52">
        <v>15</v>
      </c>
      <c r="AB52">
        <v>20</v>
      </c>
      <c r="AC52">
        <v>0</v>
      </c>
      <c r="AD52">
        <v>0</v>
      </c>
      <c r="AE52">
        <v>0</v>
      </c>
      <c r="AG52">
        <v>50</v>
      </c>
      <c r="AH52">
        <v>12.5</v>
      </c>
      <c r="AI52">
        <v>62.5</v>
      </c>
      <c r="AJ52">
        <v>75</v>
      </c>
    </row>
    <row r="53" spans="1:36" x14ac:dyDescent="0.25">
      <c r="A53" t="s">
        <v>165</v>
      </c>
      <c r="B53" t="s">
        <v>16</v>
      </c>
      <c r="C53">
        <v>8351903</v>
      </c>
      <c r="D53" t="s">
        <v>45</v>
      </c>
      <c r="E53" t="s">
        <v>166</v>
      </c>
      <c r="F53" t="s">
        <v>167</v>
      </c>
      <c r="G53">
        <v>7886001747</v>
      </c>
      <c r="H53" t="s">
        <v>168</v>
      </c>
      <c r="I53" t="s">
        <v>18</v>
      </c>
      <c r="J53" t="s">
        <v>169</v>
      </c>
      <c r="K53" t="s">
        <v>124</v>
      </c>
      <c r="L53" t="s">
        <v>170</v>
      </c>
      <c r="M53" t="s">
        <v>171</v>
      </c>
      <c r="N53" t="s">
        <v>172</v>
      </c>
      <c r="O53" t="s">
        <v>176</v>
      </c>
      <c r="P53">
        <v>95</v>
      </c>
      <c r="Q53" t="s">
        <v>174</v>
      </c>
      <c r="R53">
        <v>1</v>
      </c>
      <c r="S53">
        <v>1</v>
      </c>
      <c r="T53">
        <v>33.33333333333333</v>
      </c>
      <c r="U53">
        <v>0.25</v>
      </c>
      <c r="V53">
        <v>0.00663716814159292</v>
      </c>
      <c r="W53">
        <v>0</v>
      </c>
      <c r="X53">
        <v>0.9</v>
      </c>
      <c r="Z53">
        <v>15</v>
      </c>
      <c r="AA53">
        <v>15</v>
      </c>
      <c r="AB53">
        <v>0</v>
      </c>
      <c r="AC53">
        <v>3.75</v>
      </c>
      <c r="AD53">
        <v>15</v>
      </c>
      <c r="AE53">
        <v>0</v>
      </c>
      <c r="AG53">
        <v>48.75</v>
      </c>
      <c r="AH53">
        <v>13.5</v>
      </c>
      <c r="AI53">
        <v>60.9375</v>
      </c>
      <c r="AJ53">
        <v>74.4375</v>
      </c>
    </row>
    <row r="54" spans="1:36" x14ac:dyDescent="0.25">
      <c r="A54" t="s">
        <v>165</v>
      </c>
      <c r="B54" t="s">
        <v>16</v>
      </c>
      <c r="C54">
        <v>5797725</v>
      </c>
      <c r="D54" t="s">
        <v>72</v>
      </c>
      <c r="E54" t="s">
        <v>166</v>
      </c>
      <c r="F54" t="s">
        <v>167</v>
      </c>
      <c r="G54">
        <v>7886002538</v>
      </c>
      <c r="H54" t="s">
        <v>177</v>
      </c>
      <c r="I54" t="s">
        <v>18</v>
      </c>
      <c r="J54" t="s">
        <v>169</v>
      </c>
      <c r="K54" t="s">
        <v>73</v>
      </c>
      <c r="L54" t="s">
        <v>178</v>
      </c>
      <c r="M54" t="s">
        <v>171</v>
      </c>
      <c r="N54" t="s">
        <v>172</v>
      </c>
      <c r="O54" t="s">
        <v>176</v>
      </c>
      <c r="P54">
        <v>63</v>
      </c>
      <c r="Q54" t="s">
        <v>174</v>
      </c>
      <c r="R54">
        <v>1</v>
      </c>
      <c r="S54">
        <v>1</v>
      </c>
      <c r="T54">
        <v>0</v>
      </c>
      <c r="U54">
        <v>0.2857142857142857</v>
      </c>
      <c r="V54">
        <v>0.015486725663716814</v>
      </c>
      <c r="W54">
        <v>0</v>
      </c>
      <c r="X54">
        <v>0.75</v>
      </c>
      <c r="Z54">
        <v>15</v>
      </c>
      <c r="AA54">
        <v>15</v>
      </c>
      <c r="AB54">
        <v>0</v>
      </c>
      <c r="AC54">
        <v>4.285714285714286</v>
      </c>
      <c r="AD54">
        <v>15</v>
      </c>
      <c r="AE54">
        <v>0</v>
      </c>
      <c r="AG54">
        <v>49.285714285714285</v>
      </c>
      <c r="AH54">
        <v>11.25</v>
      </c>
      <c r="AI54">
        <v>61.607142857142854</v>
      </c>
      <c r="AJ54">
        <v>72.85714285714286</v>
      </c>
    </row>
    <row r="55" spans="1:36" x14ac:dyDescent="0.25">
      <c r="A55" t="s">
        <v>165</v>
      </c>
      <c r="B55" t="s">
        <v>16</v>
      </c>
      <c r="C55">
        <v>4162738</v>
      </c>
      <c r="D55" t="s">
        <v>57</v>
      </c>
      <c r="E55" t="s">
        <v>166</v>
      </c>
      <c r="F55" t="s">
        <v>184</v>
      </c>
      <c r="G55">
        <v>7886002743</v>
      </c>
      <c r="H55" t="s">
        <v>177</v>
      </c>
      <c r="I55" t="s">
        <v>18</v>
      </c>
      <c r="J55" t="s">
        <v>185</v>
      </c>
      <c r="K55" t="s">
        <v>58</v>
      </c>
      <c r="L55" t="s">
        <v>170</v>
      </c>
      <c r="M55" t="s">
        <v>171</v>
      </c>
      <c r="N55" t="s">
        <v>172</v>
      </c>
      <c r="O55" t="s">
        <v>176</v>
      </c>
      <c r="P55">
        <v>42</v>
      </c>
      <c r="Q55" t="s">
        <v>174</v>
      </c>
      <c r="R55">
        <v>1</v>
      </c>
      <c r="S55">
        <v>1</v>
      </c>
      <c r="T55">
        <v>100</v>
      </c>
      <c r="U55">
        <v>0</v>
      </c>
      <c r="V55">
        <v>1</v>
      </c>
      <c r="W55">
        <v>0</v>
      </c>
      <c r="X55">
        <v>0.6428571428571429</v>
      </c>
      <c r="Z55">
        <v>15</v>
      </c>
      <c r="AA55">
        <v>15</v>
      </c>
      <c r="AB55">
        <v>20</v>
      </c>
      <c r="AC55">
        <v>0</v>
      </c>
      <c r="AD55">
        <v>0</v>
      </c>
      <c r="AE55">
        <v>0</v>
      </c>
      <c r="AG55">
        <v>50</v>
      </c>
      <c r="AH55">
        <v>9.642857142857144</v>
      </c>
      <c r="AI55">
        <v>62.5</v>
      </c>
      <c r="AJ55">
        <v>72.14285714285714</v>
      </c>
    </row>
    <row r="56" spans="1:36" x14ac:dyDescent="0.25">
      <c r="A56" t="s">
        <v>165</v>
      </c>
      <c r="B56" t="s">
        <v>16</v>
      </c>
      <c r="C56">
        <v>9203501</v>
      </c>
      <c r="D56" t="s">
        <v>43</v>
      </c>
      <c r="E56" t="s">
        <v>166</v>
      </c>
      <c r="F56" t="s">
        <v>167</v>
      </c>
      <c r="G56">
        <v>7886002565</v>
      </c>
      <c r="H56" t="s">
        <v>177</v>
      </c>
      <c r="I56" t="s">
        <v>18</v>
      </c>
      <c r="J56" t="s">
        <v>169</v>
      </c>
      <c r="K56" t="s">
        <v>44</v>
      </c>
      <c r="L56" t="s">
        <v>178</v>
      </c>
      <c r="M56" t="s">
        <v>171</v>
      </c>
      <c r="N56" t="s">
        <v>172</v>
      </c>
      <c r="O56" t="s">
        <v>175</v>
      </c>
      <c r="P56">
        <v>22</v>
      </c>
      <c r="Q56" t="s">
        <v>174</v>
      </c>
      <c r="R56">
        <v>1</v>
      </c>
      <c r="S56">
        <v>1</v>
      </c>
      <c r="T56">
        <v>0</v>
      </c>
      <c r="U56">
        <v>0</v>
      </c>
      <c r="V56">
        <v>0.0022123893805309734</v>
      </c>
      <c r="W56">
        <v>0</v>
      </c>
      <c r="X56">
        <v>1</v>
      </c>
      <c r="Z56">
        <v>15</v>
      </c>
      <c r="AA56">
        <v>15</v>
      </c>
      <c r="AB56">
        <v>0</v>
      </c>
      <c r="AC56">
        <v>0</v>
      </c>
      <c r="AD56">
        <v>15</v>
      </c>
      <c r="AE56">
        <v>0</v>
      </c>
      <c r="AG56">
        <v>45</v>
      </c>
      <c r="AH56">
        <v>15</v>
      </c>
      <c r="AI56">
        <v>56.25</v>
      </c>
      <c r="AJ56">
        <v>71.25</v>
      </c>
    </row>
    <row r="57" spans="1:36" x14ac:dyDescent="0.25">
      <c r="A57" t="s">
        <v>165</v>
      </c>
      <c r="B57" t="s">
        <v>16</v>
      </c>
      <c r="C57">
        <v>8396105</v>
      </c>
      <c r="D57" t="s">
        <v>26</v>
      </c>
      <c r="E57" t="s">
        <v>166</v>
      </c>
      <c r="F57" t="s">
        <v>167</v>
      </c>
      <c r="G57">
        <v>7886000919</v>
      </c>
      <c r="H57" t="s">
        <v>168</v>
      </c>
      <c r="I57" t="s">
        <v>18</v>
      </c>
      <c r="J57" t="s">
        <v>169</v>
      </c>
      <c r="K57" t="s">
        <v>27</v>
      </c>
      <c r="L57" t="s">
        <v>170</v>
      </c>
      <c r="M57" t="s">
        <v>171</v>
      </c>
      <c r="N57" t="s">
        <v>172</v>
      </c>
      <c r="O57" t="s">
        <v>173</v>
      </c>
      <c r="P57">
        <v>55</v>
      </c>
      <c r="Q57" t="s">
        <v>174</v>
      </c>
      <c r="R57">
        <v>1</v>
      </c>
      <c r="S57">
        <v>1</v>
      </c>
      <c r="T57">
        <v>100</v>
      </c>
      <c r="U57">
        <v>0</v>
      </c>
      <c r="V57">
        <v>1</v>
      </c>
      <c r="W57">
        <v>0.83333333333333</v>
      </c>
      <c r="Z57">
        <v>15</v>
      </c>
      <c r="AA57">
        <v>15</v>
      </c>
      <c r="AB57">
        <v>20</v>
      </c>
      <c r="AC57">
        <v>0</v>
      </c>
      <c r="AD57">
        <v>0</v>
      </c>
      <c r="AE57">
        <v>12.49999999999995</v>
      </c>
      <c r="AG57">
        <v>62.49999999999995</v>
      </c>
      <c r="AH57">
        <v>0</v>
      </c>
      <c r="AI57">
        <v>78.12499999999994</v>
      </c>
      <c r="AJ57">
        <v>78.12499999999994</v>
      </c>
    </row>
    <row r="58" spans="1:36" x14ac:dyDescent="0.25">
      <c r="A58" t="s">
        <v>165</v>
      </c>
      <c r="B58" t="s">
        <v>16</v>
      </c>
      <c r="C58">
        <v>5797725</v>
      </c>
      <c r="D58" t="s">
        <v>72</v>
      </c>
      <c r="E58" t="s">
        <v>166</v>
      </c>
      <c r="F58" t="s">
        <v>167</v>
      </c>
      <c r="G58">
        <v>7886002539</v>
      </c>
      <c r="H58" t="s">
        <v>177</v>
      </c>
      <c r="I58" t="s">
        <v>18</v>
      </c>
      <c r="J58" t="s">
        <v>169</v>
      </c>
      <c r="K58" t="s">
        <v>74</v>
      </c>
      <c r="L58" t="s">
        <v>178</v>
      </c>
      <c r="M58" t="s">
        <v>171</v>
      </c>
      <c r="N58" t="s">
        <v>172</v>
      </c>
      <c r="O58" t="s">
        <v>176</v>
      </c>
      <c r="P58">
        <v>73</v>
      </c>
      <c r="Q58" t="s">
        <v>174</v>
      </c>
      <c r="R58">
        <v>1</v>
      </c>
      <c r="S58">
        <v>1</v>
      </c>
      <c r="T58">
        <v>0</v>
      </c>
      <c r="U58">
        <v>0</v>
      </c>
      <c r="V58">
        <v>0.011061946902654867</v>
      </c>
      <c r="W58">
        <v>0</v>
      </c>
      <c r="X58">
        <v>1</v>
      </c>
      <c r="Z58">
        <v>15</v>
      </c>
      <c r="AA58">
        <v>15</v>
      </c>
      <c r="AB58">
        <v>0</v>
      </c>
      <c r="AC58">
        <v>0</v>
      </c>
      <c r="AD58">
        <v>15</v>
      </c>
      <c r="AE58">
        <v>0</v>
      </c>
      <c r="AG58">
        <v>45</v>
      </c>
      <c r="AH58">
        <v>15</v>
      </c>
      <c r="AI58">
        <v>56.25</v>
      </c>
      <c r="AJ58">
        <v>71.25</v>
      </c>
    </row>
    <row r="59" spans="1:36" x14ac:dyDescent="0.25">
      <c r="A59" t="s">
        <v>165</v>
      </c>
      <c r="B59" t="s">
        <v>16</v>
      </c>
      <c r="C59">
        <v>5797728</v>
      </c>
      <c r="D59" t="s">
        <v>39</v>
      </c>
      <c r="E59" t="s">
        <v>166</v>
      </c>
      <c r="F59" t="s">
        <v>167</v>
      </c>
      <c r="G59">
        <v>7886002491</v>
      </c>
      <c r="H59" t="s">
        <v>168</v>
      </c>
      <c r="I59" t="s">
        <v>18</v>
      </c>
      <c r="J59" t="s">
        <v>169</v>
      </c>
      <c r="K59" t="s">
        <v>40</v>
      </c>
      <c r="L59" t="s">
        <v>170</v>
      </c>
      <c r="M59" t="s">
        <v>171</v>
      </c>
      <c r="N59" t="s">
        <v>172</v>
      </c>
      <c r="O59" t="s">
        <v>176</v>
      </c>
      <c r="P59">
        <v>58</v>
      </c>
      <c r="Q59" t="s">
        <v>174</v>
      </c>
      <c r="R59">
        <v>1</v>
      </c>
      <c r="S59">
        <v>1</v>
      </c>
      <c r="T59">
        <v>80</v>
      </c>
      <c r="U59">
        <v>0</v>
      </c>
      <c r="V59">
        <v>1</v>
      </c>
      <c r="W59">
        <v>0</v>
      </c>
      <c r="X59">
        <v>0.8181818181818182</v>
      </c>
      <c r="Z59">
        <v>15</v>
      </c>
      <c r="AA59">
        <v>15</v>
      </c>
      <c r="AB59">
        <v>20</v>
      </c>
      <c r="AC59">
        <v>0</v>
      </c>
      <c r="AD59">
        <v>0</v>
      </c>
      <c r="AE59">
        <v>0</v>
      </c>
      <c r="AG59">
        <v>50</v>
      </c>
      <c r="AH59">
        <v>12.272727272727273</v>
      </c>
      <c r="AI59">
        <v>62.5</v>
      </c>
      <c r="AJ59">
        <v>74.77272727272728</v>
      </c>
    </row>
    <row r="60" spans="1:36" x14ac:dyDescent="0.25">
      <c r="A60" t="s">
        <v>165</v>
      </c>
      <c r="B60" t="s">
        <v>16</v>
      </c>
      <c r="C60">
        <v>5797729</v>
      </c>
      <c r="D60" t="s">
        <v>85</v>
      </c>
      <c r="E60" t="s">
        <v>166</v>
      </c>
      <c r="F60" t="s">
        <v>167</v>
      </c>
      <c r="G60">
        <v>7886002500</v>
      </c>
      <c r="H60" t="s">
        <v>177</v>
      </c>
      <c r="I60" t="s">
        <v>18</v>
      </c>
      <c r="J60" t="s">
        <v>169</v>
      </c>
      <c r="K60" t="s">
        <v>86</v>
      </c>
      <c r="L60" t="s">
        <v>178</v>
      </c>
      <c r="M60" t="s">
        <v>171</v>
      </c>
      <c r="N60" t="s">
        <v>172</v>
      </c>
      <c r="O60" t="s">
        <v>176</v>
      </c>
      <c r="P60">
        <v>20</v>
      </c>
      <c r="Q60" t="s">
        <v>174</v>
      </c>
      <c r="R60">
        <v>1</v>
      </c>
      <c r="S60">
        <v>1</v>
      </c>
      <c r="T60">
        <v>0</v>
      </c>
      <c r="U60">
        <v>0</v>
      </c>
      <c r="V60">
        <v>0.004424778761061947</v>
      </c>
      <c r="W60">
        <v>0</v>
      </c>
      <c r="X60">
        <v>1</v>
      </c>
      <c r="Z60">
        <v>15</v>
      </c>
      <c r="AA60">
        <v>15</v>
      </c>
      <c r="AB60">
        <v>0</v>
      </c>
      <c r="AC60">
        <v>0</v>
      </c>
      <c r="AD60">
        <v>15</v>
      </c>
      <c r="AE60">
        <v>0</v>
      </c>
      <c r="AG60">
        <v>45</v>
      </c>
      <c r="AH60">
        <v>15</v>
      </c>
      <c r="AI60">
        <v>56.25</v>
      </c>
      <c r="AJ60">
        <v>71.25</v>
      </c>
    </row>
    <row r="61" spans="1:36" x14ac:dyDescent="0.25">
      <c r="A61" t="s">
        <v>165</v>
      </c>
      <c r="B61" t="s">
        <v>16</v>
      </c>
      <c r="C61">
        <v>5797729</v>
      </c>
      <c r="D61" t="s">
        <v>85</v>
      </c>
      <c r="E61" t="s">
        <v>166</v>
      </c>
      <c r="F61" t="s">
        <v>167</v>
      </c>
      <c r="G61">
        <v>7886002502</v>
      </c>
      <c r="H61" t="s">
        <v>177</v>
      </c>
      <c r="I61" t="s">
        <v>18</v>
      </c>
      <c r="J61" t="s">
        <v>169</v>
      </c>
      <c r="K61" t="s">
        <v>88</v>
      </c>
      <c r="L61" t="s">
        <v>178</v>
      </c>
      <c r="M61" t="s">
        <v>171</v>
      </c>
      <c r="N61" t="s">
        <v>172</v>
      </c>
      <c r="O61" t="s">
        <v>176</v>
      </c>
      <c r="P61">
        <v>72</v>
      </c>
      <c r="Q61" t="s">
        <v>174</v>
      </c>
      <c r="R61">
        <v>1</v>
      </c>
      <c r="S61">
        <v>1</v>
      </c>
      <c r="T61">
        <v>50</v>
      </c>
      <c r="U61">
        <v>0</v>
      </c>
      <c r="V61">
        <v>0.017699115044247787</v>
      </c>
      <c r="W61">
        <v>0</v>
      </c>
      <c r="X61">
        <v>1</v>
      </c>
      <c r="Z61">
        <v>15</v>
      </c>
      <c r="AA61">
        <v>15</v>
      </c>
      <c r="AB61">
        <v>0</v>
      </c>
      <c r="AC61">
        <v>0</v>
      </c>
      <c r="AD61">
        <v>15</v>
      </c>
      <c r="AE61">
        <v>0</v>
      </c>
      <c r="AG61">
        <v>45</v>
      </c>
      <c r="AH61">
        <v>15</v>
      </c>
      <c r="AI61">
        <v>56.25</v>
      </c>
      <c r="AJ61">
        <v>71.25</v>
      </c>
    </row>
    <row r="62" spans="1:36" x14ac:dyDescent="0.25">
      <c r="A62" t="s">
        <v>165</v>
      </c>
      <c r="B62" t="s">
        <v>16</v>
      </c>
      <c r="C62">
        <v>8351903</v>
      </c>
      <c r="D62" t="s">
        <v>45</v>
      </c>
      <c r="E62" t="s">
        <v>166</v>
      </c>
      <c r="F62" t="s">
        <v>167</v>
      </c>
      <c r="G62">
        <v>7886002800</v>
      </c>
      <c r="H62" t="s">
        <v>177</v>
      </c>
      <c r="I62" t="s">
        <v>18</v>
      </c>
      <c r="J62" t="s">
        <v>169</v>
      </c>
      <c r="K62" t="s">
        <v>34</v>
      </c>
      <c r="L62" t="s">
        <v>182</v>
      </c>
      <c r="M62" t="s">
        <v>171</v>
      </c>
      <c r="N62" t="s">
        <v>172</v>
      </c>
      <c r="O62" t="s">
        <v>176</v>
      </c>
      <c r="P62">
        <v>84</v>
      </c>
      <c r="Q62" t="s">
        <v>174</v>
      </c>
      <c r="R62">
        <v>1</v>
      </c>
      <c r="S62">
        <v>1</v>
      </c>
      <c r="T62">
        <v>50</v>
      </c>
      <c r="U62">
        <v>0</v>
      </c>
      <c r="V62">
        <v>0.004424778761061947</v>
      </c>
      <c r="W62">
        <v>0</v>
      </c>
      <c r="X62">
        <v>1</v>
      </c>
      <c r="Z62">
        <v>15</v>
      </c>
      <c r="AA62">
        <v>15</v>
      </c>
      <c r="AB62">
        <v>0</v>
      </c>
      <c r="AC62">
        <v>0</v>
      </c>
      <c r="AD62">
        <v>15</v>
      </c>
      <c r="AE62">
        <v>0</v>
      </c>
      <c r="AG62">
        <v>45</v>
      </c>
      <c r="AH62">
        <v>15</v>
      </c>
      <c r="AI62">
        <v>56.25</v>
      </c>
      <c r="AJ62">
        <v>71.25</v>
      </c>
    </row>
    <row r="63" spans="1:36" x14ac:dyDescent="0.25">
      <c r="A63" t="s">
        <v>165</v>
      </c>
      <c r="B63" t="s">
        <v>16</v>
      </c>
      <c r="C63">
        <v>5797727</v>
      </c>
      <c r="D63" t="s">
        <v>81</v>
      </c>
      <c r="E63" t="s">
        <v>166</v>
      </c>
      <c r="F63" t="s">
        <v>167</v>
      </c>
      <c r="G63">
        <v>7886002546</v>
      </c>
      <c r="H63" t="s">
        <v>177</v>
      </c>
      <c r="I63" t="s">
        <v>18</v>
      </c>
      <c r="J63" t="s">
        <v>169</v>
      </c>
      <c r="K63" t="s">
        <v>34</v>
      </c>
      <c r="L63" t="s">
        <v>182</v>
      </c>
      <c r="M63" t="s">
        <v>171</v>
      </c>
      <c r="N63" t="s">
        <v>172</v>
      </c>
      <c r="O63" t="s">
        <v>176</v>
      </c>
      <c r="P63">
        <v>102</v>
      </c>
      <c r="Q63" t="s">
        <v>174</v>
      </c>
      <c r="R63">
        <v>1</v>
      </c>
      <c r="S63">
        <v>1</v>
      </c>
      <c r="T63">
        <v>25</v>
      </c>
      <c r="U63">
        <v>0</v>
      </c>
      <c r="V63">
        <v>0.0022123893805309734</v>
      </c>
      <c r="W63">
        <v>0</v>
      </c>
      <c r="X63">
        <v>0.9375</v>
      </c>
      <c r="Z63">
        <v>15</v>
      </c>
      <c r="AA63">
        <v>15</v>
      </c>
      <c r="AB63">
        <v>0</v>
      </c>
      <c r="AC63">
        <v>0</v>
      </c>
      <c r="AD63">
        <v>15</v>
      </c>
      <c r="AE63">
        <v>0</v>
      </c>
      <c r="AG63">
        <v>45</v>
      </c>
      <c r="AH63">
        <v>14.0625</v>
      </c>
      <c r="AI63">
        <v>56.25</v>
      </c>
      <c r="AJ63">
        <v>70.3125</v>
      </c>
    </row>
    <row r="64" spans="1:36" x14ac:dyDescent="0.25">
      <c r="A64" t="s">
        <v>165</v>
      </c>
      <c r="B64" t="s">
        <v>16</v>
      </c>
      <c r="C64">
        <v>9203499</v>
      </c>
      <c r="D64" t="s">
        <v>28</v>
      </c>
      <c r="E64" t="s">
        <v>166</v>
      </c>
      <c r="F64" t="s">
        <v>167</v>
      </c>
      <c r="G64">
        <v>7886002432</v>
      </c>
      <c r="H64" t="s">
        <v>177</v>
      </c>
      <c r="I64" t="s">
        <v>18</v>
      </c>
      <c r="J64" t="s">
        <v>169</v>
      </c>
      <c r="K64" t="s">
        <v>56</v>
      </c>
      <c r="L64" t="s">
        <v>178</v>
      </c>
      <c r="M64" t="s">
        <v>183</v>
      </c>
      <c r="N64" t="s">
        <v>172</v>
      </c>
      <c r="O64" t="s">
        <v>176</v>
      </c>
      <c r="P64">
        <v>71</v>
      </c>
      <c r="Q64" t="s">
        <v>174</v>
      </c>
      <c r="R64">
        <v>1</v>
      </c>
      <c r="S64">
        <v>1</v>
      </c>
      <c r="T64">
        <v>-100</v>
      </c>
      <c r="U64">
        <v>0</v>
      </c>
      <c r="V64">
        <v>0.008849557522123894</v>
      </c>
      <c r="W64">
        <v>0</v>
      </c>
      <c r="X64">
        <v>0.8333333333333334</v>
      </c>
      <c r="Z64">
        <v>15</v>
      </c>
      <c r="AA64">
        <v>15</v>
      </c>
      <c r="AB64">
        <v>0</v>
      </c>
      <c r="AC64">
        <v>0</v>
      </c>
      <c r="AD64">
        <v>15</v>
      </c>
      <c r="AE64">
        <v>0</v>
      </c>
      <c r="AG64">
        <v>45</v>
      </c>
      <c r="AH64">
        <v>12.5</v>
      </c>
      <c r="AI64">
        <v>56.25</v>
      </c>
      <c r="AJ64">
        <v>68.75</v>
      </c>
    </row>
    <row r="65" spans="1:36" x14ac:dyDescent="0.25">
      <c r="A65" t="s">
        <v>165</v>
      </c>
      <c r="B65" t="s">
        <v>16</v>
      </c>
      <c r="C65">
        <v>5797725</v>
      </c>
      <c r="D65" t="s">
        <v>72</v>
      </c>
      <c r="E65" t="s">
        <v>166</v>
      </c>
      <c r="F65" t="s">
        <v>167</v>
      </c>
      <c r="G65">
        <v>7886002544</v>
      </c>
      <c r="H65" t="s">
        <v>177</v>
      </c>
      <c r="I65" t="s">
        <v>18</v>
      </c>
      <c r="J65" t="s">
        <v>169</v>
      </c>
      <c r="K65" t="s">
        <v>78</v>
      </c>
      <c r="L65" t="s">
        <v>178</v>
      </c>
      <c r="M65" t="s">
        <v>171</v>
      </c>
      <c r="N65" t="s">
        <v>172</v>
      </c>
      <c r="O65" t="s">
        <v>176</v>
      </c>
      <c r="P65">
        <v>79</v>
      </c>
      <c r="Q65" t="s">
        <v>174</v>
      </c>
      <c r="R65">
        <v>1</v>
      </c>
      <c r="S65">
        <v>1</v>
      </c>
      <c r="T65">
        <v>0</v>
      </c>
      <c r="U65">
        <v>0</v>
      </c>
      <c r="V65">
        <v>0.004424778761061947</v>
      </c>
      <c r="W65">
        <v>0</v>
      </c>
      <c r="X65">
        <v>0.8333333333333334</v>
      </c>
      <c r="Z65">
        <v>15</v>
      </c>
      <c r="AA65">
        <v>15</v>
      </c>
      <c r="AB65">
        <v>0</v>
      </c>
      <c r="AC65">
        <v>0</v>
      </c>
      <c r="AD65">
        <v>15</v>
      </c>
      <c r="AE65">
        <v>0</v>
      </c>
      <c r="AG65">
        <v>45</v>
      </c>
      <c r="AH65">
        <v>12.5</v>
      </c>
      <c r="AI65">
        <v>56.25</v>
      </c>
      <c r="AJ65">
        <v>68.75</v>
      </c>
    </row>
    <row r="66" spans="1:36" x14ac:dyDescent="0.25">
      <c r="A66" t="s">
        <v>165</v>
      </c>
      <c r="B66" t="s">
        <v>16</v>
      </c>
      <c r="C66">
        <v>9203499</v>
      </c>
      <c r="D66" t="s">
        <v>28</v>
      </c>
      <c r="E66" t="s">
        <v>166</v>
      </c>
      <c r="F66" t="s">
        <v>167</v>
      </c>
      <c r="G66">
        <v>7886002657</v>
      </c>
      <c r="H66" t="s">
        <v>177</v>
      </c>
      <c r="I66" t="s">
        <v>18</v>
      </c>
      <c r="J66" t="s">
        <v>169</v>
      </c>
      <c r="K66" t="s">
        <v>34</v>
      </c>
      <c r="L66" t="s">
        <v>182</v>
      </c>
      <c r="M66" t="s">
        <v>183</v>
      </c>
      <c r="N66" t="s">
        <v>172</v>
      </c>
      <c r="O66" t="s">
        <v>176</v>
      </c>
      <c r="P66">
        <v>105</v>
      </c>
      <c r="Q66" t="s">
        <v>174</v>
      </c>
      <c r="R66">
        <v>1</v>
      </c>
      <c r="S66">
        <v>1</v>
      </c>
      <c r="T66">
        <v>-100</v>
      </c>
      <c r="U66">
        <v>0</v>
      </c>
      <c r="V66">
        <v>0.00663716814159292</v>
      </c>
      <c r="W66">
        <v>0</v>
      </c>
      <c r="X66">
        <v>0.6428571428571429</v>
      </c>
      <c r="Z66">
        <v>15</v>
      </c>
      <c r="AA66">
        <v>15</v>
      </c>
      <c r="AB66">
        <v>0</v>
      </c>
      <c r="AC66">
        <v>0</v>
      </c>
      <c r="AD66">
        <v>15</v>
      </c>
      <c r="AE66">
        <v>0</v>
      </c>
      <c r="AG66">
        <v>45</v>
      </c>
      <c r="AH66">
        <v>9.642857142857144</v>
      </c>
      <c r="AI66">
        <v>56.25</v>
      </c>
      <c r="AJ66">
        <v>65.89285714285714</v>
      </c>
    </row>
    <row r="67" spans="1:36" x14ac:dyDescent="0.25">
      <c r="A67" t="s">
        <v>165</v>
      </c>
      <c r="B67" t="s">
        <v>16</v>
      </c>
      <c r="C67">
        <v>8351903</v>
      </c>
      <c r="D67" t="s">
        <v>45</v>
      </c>
      <c r="E67" t="s">
        <v>166</v>
      </c>
      <c r="F67" t="s">
        <v>167</v>
      </c>
      <c r="G67">
        <v>7886002787</v>
      </c>
      <c r="H67" t="s">
        <v>177</v>
      </c>
      <c r="I67" t="s">
        <v>18</v>
      </c>
      <c r="J67" t="s">
        <v>169</v>
      </c>
      <c r="K67" t="s">
        <v>34</v>
      </c>
      <c r="L67" t="s">
        <v>182</v>
      </c>
      <c r="M67" t="s">
        <v>171</v>
      </c>
      <c r="N67" t="s">
        <v>172</v>
      </c>
      <c r="O67" t="s">
        <v>176</v>
      </c>
      <c r="P67">
        <v>81</v>
      </c>
      <c r="Q67" t="s">
        <v>174</v>
      </c>
      <c r="R67">
        <v>0</v>
      </c>
      <c r="S67">
        <v>1</v>
      </c>
      <c r="T67">
        <v>100</v>
      </c>
      <c r="U67">
        <v>0.36363636363636365</v>
      </c>
      <c r="V67">
        <v>1</v>
      </c>
      <c r="W67">
        <v>0</v>
      </c>
      <c r="X67">
        <v>1</v>
      </c>
      <c r="Z67">
        <v>0</v>
      </c>
      <c r="AA67">
        <v>15</v>
      </c>
      <c r="AB67">
        <v>20</v>
      </c>
      <c r="AC67">
        <v>5.454545454545455</v>
      </c>
      <c r="AD67">
        <v>0</v>
      </c>
      <c r="AE67">
        <v>0</v>
      </c>
      <c r="AG67">
        <v>40.45454545454545</v>
      </c>
      <c r="AH67">
        <v>15</v>
      </c>
      <c r="AI67">
        <v>50.56818181818181</v>
      </c>
      <c r="AJ67">
        <v>65.56818181818181</v>
      </c>
    </row>
    <row r="68" spans="1:36" x14ac:dyDescent="0.25">
      <c r="A68" t="s">
        <v>165</v>
      </c>
      <c r="B68" t="s">
        <v>16</v>
      </c>
      <c r="C68">
        <v>5797728</v>
      </c>
      <c r="D68" t="s">
        <v>39</v>
      </c>
      <c r="E68" t="s">
        <v>166</v>
      </c>
      <c r="F68" t="s">
        <v>167</v>
      </c>
      <c r="G68">
        <v>7886002493</v>
      </c>
      <c r="H68" t="s">
        <v>177</v>
      </c>
      <c r="I68" t="s">
        <v>18</v>
      </c>
      <c r="J68" t="s">
        <v>169</v>
      </c>
      <c r="K68" t="s">
        <v>83</v>
      </c>
      <c r="L68" t="s">
        <v>170</v>
      </c>
      <c r="M68" t="s">
        <v>171</v>
      </c>
      <c r="N68" t="s">
        <v>172</v>
      </c>
      <c r="O68" t="s">
        <v>176</v>
      </c>
      <c r="P68">
        <v>49</v>
      </c>
      <c r="Q68" t="s">
        <v>174</v>
      </c>
      <c r="R68">
        <v>1</v>
      </c>
      <c r="S68">
        <v>1</v>
      </c>
      <c r="T68">
        <v>100</v>
      </c>
      <c r="U68">
        <v>0</v>
      </c>
      <c r="V68">
        <v>1</v>
      </c>
      <c r="W68">
        <v>0</v>
      </c>
      <c r="X68">
        <v>0.16666666666666666</v>
      </c>
      <c r="Z68">
        <v>15</v>
      </c>
      <c r="AA68">
        <v>15</v>
      </c>
      <c r="AB68">
        <v>20</v>
      </c>
      <c r="AC68">
        <v>0</v>
      </c>
      <c r="AD68">
        <v>0</v>
      </c>
      <c r="AE68">
        <v>0</v>
      </c>
      <c r="AG68">
        <v>50</v>
      </c>
      <c r="AH68">
        <v>2.5</v>
      </c>
      <c r="AI68">
        <v>62.5</v>
      </c>
      <c r="AJ68">
        <v>65</v>
      </c>
    </row>
    <row r="69" spans="1:36" x14ac:dyDescent="0.25">
      <c r="A69" t="s">
        <v>165</v>
      </c>
      <c r="B69" t="s">
        <v>16</v>
      </c>
      <c r="C69">
        <v>9203497</v>
      </c>
      <c r="D69" t="s">
        <v>41</v>
      </c>
      <c r="E69" t="s">
        <v>166</v>
      </c>
      <c r="F69" t="s">
        <v>167</v>
      </c>
      <c r="G69">
        <v>7886002658</v>
      </c>
      <c r="H69" t="s">
        <v>177</v>
      </c>
      <c r="I69" t="s">
        <v>18</v>
      </c>
      <c r="J69" t="s">
        <v>169</v>
      </c>
      <c r="K69" t="s">
        <v>34</v>
      </c>
      <c r="L69" t="s">
        <v>182</v>
      </c>
      <c r="M69" t="s">
        <v>183</v>
      </c>
      <c r="N69" t="s">
        <v>172</v>
      </c>
      <c r="O69" t="s">
        <v>175</v>
      </c>
      <c r="P69">
        <v>16</v>
      </c>
      <c r="Q69" t="s">
        <v>174</v>
      </c>
      <c r="R69">
        <v>1</v>
      </c>
      <c r="S69">
        <v>1</v>
      </c>
      <c r="T69">
        <v>100</v>
      </c>
      <c r="U69">
        <v>0</v>
      </c>
      <c r="V69">
        <v>1</v>
      </c>
      <c r="W69">
        <v>1</v>
      </c>
      <c r="X69">
        <v>1</v>
      </c>
      <c r="Z69">
        <v>15</v>
      </c>
      <c r="AA69">
        <v>15</v>
      </c>
      <c r="AB69">
        <v>20</v>
      </c>
      <c r="AC69">
        <v>0</v>
      </c>
      <c r="AD69">
        <v>0</v>
      </c>
      <c r="AE69">
        <v>15</v>
      </c>
      <c r="AG69">
        <v>65</v>
      </c>
      <c r="AH69">
        <v>15</v>
      </c>
      <c r="AI69">
        <v>48.75</v>
      </c>
      <c r="AJ69">
        <v>63.75</v>
      </c>
    </row>
    <row r="70" spans="1:36" x14ac:dyDescent="0.25">
      <c r="A70" t="s">
        <v>165</v>
      </c>
      <c r="B70" t="s">
        <v>16</v>
      </c>
      <c r="C70">
        <v>8398383</v>
      </c>
      <c r="D70" t="s">
        <v>97</v>
      </c>
      <c r="E70" t="s">
        <v>166</v>
      </c>
      <c r="F70" t="s">
        <v>184</v>
      </c>
      <c r="G70">
        <v>7886002812</v>
      </c>
      <c r="H70" t="s">
        <v>177</v>
      </c>
      <c r="I70" t="s">
        <v>18</v>
      </c>
      <c r="J70" t="s">
        <v>185</v>
      </c>
      <c r="K70" t="s">
        <v>34</v>
      </c>
      <c r="L70" t="s">
        <v>182</v>
      </c>
      <c r="M70" t="s">
        <v>171</v>
      </c>
      <c r="N70" t="s">
        <v>172</v>
      </c>
      <c r="O70" t="s">
        <v>173</v>
      </c>
      <c r="P70">
        <v>21</v>
      </c>
      <c r="Q70" t="s">
        <v>174</v>
      </c>
      <c r="R70">
        <v>1</v>
      </c>
      <c r="S70">
        <v>1</v>
      </c>
      <c r="T70">
        <v>100</v>
      </c>
      <c r="U70">
        <v>0</v>
      </c>
      <c r="V70">
        <v>1</v>
      </c>
      <c r="W70">
        <v>0</v>
      </c>
      <c r="X70">
        <v>0</v>
      </c>
      <c r="Z70">
        <v>15</v>
      </c>
      <c r="AA70">
        <v>15</v>
      </c>
      <c r="AB70">
        <v>20</v>
      </c>
      <c r="AC70">
        <v>0</v>
      </c>
      <c r="AD70">
        <v>0</v>
      </c>
      <c r="AE70">
        <v>0</v>
      </c>
      <c r="AG70">
        <v>50</v>
      </c>
      <c r="AH70">
        <v>0</v>
      </c>
      <c r="AI70">
        <v>62.5</v>
      </c>
      <c r="AJ70">
        <v>62.5</v>
      </c>
    </row>
    <row r="71" spans="1:36" x14ac:dyDescent="0.25">
      <c r="A71" t="s">
        <v>165</v>
      </c>
      <c r="B71" t="s">
        <v>16</v>
      </c>
      <c r="C71">
        <v>9372701</v>
      </c>
      <c r="D71" t="s">
        <v>53</v>
      </c>
      <c r="E71" t="s">
        <v>166</v>
      </c>
      <c r="F71" t="s">
        <v>167</v>
      </c>
      <c r="G71">
        <v>7886002230</v>
      </c>
      <c r="H71" t="s">
        <v>177</v>
      </c>
      <c r="I71" t="s">
        <v>24</v>
      </c>
      <c r="J71" t="s">
        <v>169</v>
      </c>
      <c r="K71" t="s">
        <v>140</v>
      </c>
      <c r="L71" t="s">
        <v>182</v>
      </c>
      <c r="M71" t="s">
        <v>179</v>
      </c>
      <c r="N71" t="s">
        <v>172</v>
      </c>
      <c r="O71" t="s">
        <v>173</v>
      </c>
      <c r="P71">
        <v>378</v>
      </c>
      <c r="Q71" t="s">
        <v>174</v>
      </c>
      <c r="R71">
        <v>0</v>
      </c>
      <c r="S71">
        <v>1</v>
      </c>
      <c r="T71">
        <v>88.88888888888889</v>
      </c>
      <c r="U71">
        <v>0</v>
      </c>
      <c r="V71">
        <v>1</v>
      </c>
      <c r="W71">
        <v>0.92857142857143</v>
      </c>
      <c r="X71">
        <v>0</v>
      </c>
      <c r="Z71">
        <v>0</v>
      </c>
      <c r="AA71">
        <v>15</v>
      </c>
      <c r="AB71">
        <v>20</v>
      </c>
      <c r="AC71">
        <v>0</v>
      </c>
      <c r="AD71">
        <v>0</v>
      </c>
      <c r="AE71">
        <v>13.92857142857145</v>
      </c>
      <c r="AG71">
        <v>48.92857142857145</v>
      </c>
      <c r="AH71">
        <v>0</v>
      </c>
      <c r="AI71">
        <v>61.16071428571431</v>
      </c>
      <c r="AJ71">
        <v>61.16071428571431</v>
      </c>
    </row>
    <row r="72" spans="1:36" x14ac:dyDescent="0.25">
      <c r="A72" t="s">
        <v>165</v>
      </c>
      <c r="B72" t="s">
        <v>16</v>
      </c>
      <c r="C72">
        <v>3489862</v>
      </c>
      <c r="D72" t="s">
        <v>67</v>
      </c>
      <c r="E72" t="s">
        <v>166</v>
      </c>
      <c r="F72" t="s">
        <v>167</v>
      </c>
      <c r="G72">
        <v>7886000439</v>
      </c>
      <c r="H72" t="s">
        <v>177</v>
      </c>
      <c r="I72" t="s">
        <v>18</v>
      </c>
      <c r="J72" t="s">
        <v>169</v>
      </c>
      <c r="K72" t="s">
        <v>119</v>
      </c>
      <c r="L72" t="s">
        <v>170</v>
      </c>
      <c r="M72" t="s">
        <v>183</v>
      </c>
      <c r="N72" t="s">
        <v>172</v>
      </c>
      <c r="O72" t="s">
        <v>173</v>
      </c>
      <c r="P72">
        <v>112</v>
      </c>
      <c r="Q72" t="s">
        <v>174</v>
      </c>
      <c r="R72">
        <v>0</v>
      </c>
      <c r="S72">
        <v>1</v>
      </c>
      <c r="T72">
        <v>87.5</v>
      </c>
      <c r="U72">
        <v>0</v>
      </c>
      <c r="V72">
        <v>1</v>
      </c>
      <c r="W72">
        <v>0.88461538461538</v>
      </c>
      <c r="Z72">
        <v>0</v>
      </c>
      <c r="AA72">
        <v>15</v>
      </c>
      <c r="AB72">
        <v>20</v>
      </c>
      <c r="AC72">
        <v>0</v>
      </c>
      <c r="AD72">
        <v>0</v>
      </c>
      <c r="AE72">
        <v>13.2692307692307</v>
      </c>
      <c r="AG72">
        <v>48.2692307692307</v>
      </c>
      <c r="AH72">
        <v>0</v>
      </c>
      <c r="AI72">
        <v>60.33653846153838</v>
      </c>
      <c r="AJ72">
        <v>60.33653846153838</v>
      </c>
    </row>
    <row r="73" spans="1:36" x14ac:dyDescent="0.25">
      <c r="A73" t="s">
        <v>165</v>
      </c>
      <c r="B73" t="s">
        <v>16</v>
      </c>
      <c r="C73">
        <v>9372701</v>
      </c>
      <c r="D73" t="s">
        <v>53</v>
      </c>
      <c r="E73" t="s">
        <v>166</v>
      </c>
      <c r="F73" t="s">
        <v>167</v>
      </c>
      <c r="G73">
        <v>7886002429</v>
      </c>
      <c r="H73" t="s">
        <v>168</v>
      </c>
      <c r="I73" t="s">
        <v>24</v>
      </c>
      <c r="J73" t="s">
        <v>169</v>
      </c>
      <c r="K73" t="s">
        <v>54</v>
      </c>
      <c r="L73" t="s">
        <v>170</v>
      </c>
      <c r="M73" t="s">
        <v>179</v>
      </c>
      <c r="N73" t="s">
        <v>180</v>
      </c>
      <c r="O73" t="s">
        <v>176</v>
      </c>
      <c r="P73">
        <v>36</v>
      </c>
      <c r="Q73" t="s">
        <v>181</v>
      </c>
      <c r="R73">
        <v>1</v>
      </c>
      <c r="S73">
        <v>1</v>
      </c>
      <c r="T73">
        <v>0</v>
      </c>
      <c r="U73">
        <v>0</v>
      </c>
      <c r="V73">
        <v>0.004424778761061947</v>
      </c>
      <c r="W73">
        <v>0</v>
      </c>
      <c r="X73">
        <v>0.75</v>
      </c>
      <c r="Z73">
        <v>15</v>
      </c>
      <c r="AA73">
        <v>15</v>
      </c>
      <c r="AB73">
        <v>0</v>
      </c>
      <c r="AC73">
        <v>0</v>
      </c>
      <c r="AD73">
        <v>15</v>
      </c>
      <c r="AE73">
        <v>0</v>
      </c>
      <c r="AG73">
        <v>45</v>
      </c>
      <c r="AH73">
        <v>11.25</v>
      </c>
      <c r="AI73">
        <v>56.25</v>
      </c>
      <c r="AJ73">
        <v>67.5</v>
      </c>
    </row>
    <row r="74" spans="1:36" x14ac:dyDescent="0.25">
      <c r="A74" t="s">
        <v>165</v>
      </c>
      <c r="B74" t="s">
        <v>16</v>
      </c>
      <c r="C74">
        <v>4162738</v>
      </c>
      <c r="D74" t="s">
        <v>57</v>
      </c>
      <c r="E74" t="s">
        <v>166</v>
      </c>
      <c r="F74" t="s">
        <v>184</v>
      </c>
      <c r="G74">
        <v>7886002792</v>
      </c>
      <c r="H74" t="s">
        <v>177</v>
      </c>
      <c r="I74" t="s">
        <v>18</v>
      </c>
      <c r="J74" t="s">
        <v>185</v>
      </c>
      <c r="K74" t="s">
        <v>69</v>
      </c>
      <c r="L74" t="s">
        <v>170</v>
      </c>
      <c r="M74" t="s">
        <v>171</v>
      </c>
      <c r="N74" t="s">
        <v>172</v>
      </c>
      <c r="O74" t="s">
        <v>173</v>
      </c>
      <c r="P74">
        <v>37</v>
      </c>
      <c r="Q74" t="s">
        <v>174</v>
      </c>
      <c r="R74">
        <v>1</v>
      </c>
      <c r="S74">
        <v>1</v>
      </c>
      <c r="T74">
        <v>0</v>
      </c>
      <c r="U74">
        <v>0</v>
      </c>
      <c r="V74">
        <v>1</v>
      </c>
      <c r="W74">
        <v>1</v>
      </c>
      <c r="Z74">
        <v>15</v>
      </c>
      <c r="AA74">
        <v>15</v>
      </c>
      <c r="AB74">
        <v>0</v>
      </c>
      <c r="AC74">
        <v>0</v>
      </c>
      <c r="AD74">
        <v>0</v>
      </c>
      <c r="AE74">
        <v>15</v>
      </c>
      <c r="AG74">
        <v>45</v>
      </c>
      <c r="AH74">
        <v>0</v>
      </c>
      <c r="AI74">
        <v>56.25</v>
      </c>
      <c r="AJ74">
        <v>56.25</v>
      </c>
    </row>
    <row r="75" spans="1:36" x14ac:dyDescent="0.25">
      <c r="A75" t="s">
        <v>165</v>
      </c>
      <c r="B75" t="s">
        <v>16</v>
      </c>
      <c r="C75">
        <v>8351903</v>
      </c>
      <c r="D75" t="s">
        <v>45</v>
      </c>
      <c r="E75" t="s">
        <v>166</v>
      </c>
      <c r="F75" t="s">
        <v>167</v>
      </c>
      <c r="G75">
        <v>7886001745</v>
      </c>
      <c r="H75" t="s">
        <v>168</v>
      </c>
      <c r="I75" t="s">
        <v>18</v>
      </c>
      <c r="J75" t="s">
        <v>169</v>
      </c>
      <c r="K75" t="s">
        <v>51</v>
      </c>
      <c r="L75" t="s">
        <v>170</v>
      </c>
      <c r="M75" t="s">
        <v>171</v>
      </c>
      <c r="N75" t="s">
        <v>172</v>
      </c>
      <c r="O75" t="s">
        <v>176</v>
      </c>
      <c r="P75">
        <v>84</v>
      </c>
      <c r="Q75" t="s">
        <v>174</v>
      </c>
      <c r="R75">
        <v>1</v>
      </c>
      <c r="S75">
        <v>1</v>
      </c>
      <c r="T75">
        <v>20</v>
      </c>
      <c r="U75">
        <v>0</v>
      </c>
      <c r="V75">
        <v>0.015486725663716814</v>
      </c>
      <c r="W75">
        <v>0</v>
      </c>
      <c r="X75">
        <v>0.6818181818181818</v>
      </c>
      <c r="Z75">
        <v>15</v>
      </c>
      <c r="AA75">
        <v>15</v>
      </c>
      <c r="AB75">
        <v>0</v>
      </c>
      <c r="AC75">
        <v>0</v>
      </c>
      <c r="AD75">
        <v>15</v>
      </c>
      <c r="AE75">
        <v>0</v>
      </c>
      <c r="AG75">
        <v>45</v>
      </c>
      <c r="AH75">
        <v>10.227272727272727</v>
      </c>
      <c r="AI75">
        <v>56.25</v>
      </c>
      <c r="AJ75">
        <v>66.47727272727272</v>
      </c>
    </row>
    <row r="76" spans="1:36" x14ac:dyDescent="0.25">
      <c r="A76" t="s">
        <v>165</v>
      </c>
      <c r="B76" t="s">
        <v>16</v>
      </c>
      <c r="C76">
        <v>9203499</v>
      </c>
      <c r="D76" t="s">
        <v>28</v>
      </c>
      <c r="E76" t="s">
        <v>166</v>
      </c>
      <c r="F76" t="s">
        <v>167</v>
      </c>
      <c r="G76">
        <v>7886002641</v>
      </c>
      <c r="H76" t="s">
        <v>177</v>
      </c>
      <c r="I76" t="s">
        <v>18</v>
      </c>
      <c r="J76" t="s">
        <v>169</v>
      </c>
      <c r="K76" t="s">
        <v>102</v>
      </c>
      <c r="L76" t="s">
        <v>170</v>
      </c>
      <c r="M76" t="s">
        <v>183</v>
      </c>
      <c r="N76" t="s">
        <v>172</v>
      </c>
      <c r="O76" t="s">
        <v>173</v>
      </c>
      <c r="P76">
        <v>78</v>
      </c>
      <c r="Q76" t="s">
        <v>174</v>
      </c>
      <c r="R76">
        <v>1</v>
      </c>
      <c r="S76">
        <v>1</v>
      </c>
      <c r="T76">
        <v>0</v>
      </c>
      <c r="U76">
        <v>0</v>
      </c>
      <c r="V76">
        <v>1</v>
      </c>
      <c r="W76">
        <v>1</v>
      </c>
      <c r="Z76">
        <v>15</v>
      </c>
      <c r="AA76">
        <v>15</v>
      </c>
      <c r="AB76">
        <v>0</v>
      </c>
      <c r="AC76">
        <v>0</v>
      </c>
      <c r="AD76">
        <v>0</v>
      </c>
      <c r="AE76">
        <v>15</v>
      </c>
      <c r="AG76">
        <v>45</v>
      </c>
      <c r="AH76">
        <v>0</v>
      </c>
      <c r="AI76">
        <v>56.25</v>
      </c>
      <c r="AJ76">
        <v>56.25</v>
      </c>
    </row>
    <row r="77" spans="1:36" x14ac:dyDescent="0.25">
      <c r="A77" t="s">
        <v>165</v>
      </c>
      <c r="B77" t="s">
        <v>16</v>
      </c>
      <c r="C77">
        <v>2227239</v>
      </c>
      <c r="D77" t="s">
        <v>135</v>
      </c>
      <c r="E77" t="s">
        <v>166</v>
      </c>
      <c r="F77" t="s">
        <v>167</v>
      </c>
      <c r="G77">
        <v>7886002507</v>
      </c>
      <c r="H77" t="s">
        <v>177</v>
      </c>
      <c r="I77" t="s">
        <v>18</v>
      </c>
      <c r="J77" t="s">
        <v>169</v>
      </c>
      <c r="K77" t="s">
        <v>136</v>
      </c>
      <c r="L77" t="s">
        <v>170</v>
      </c>
      <c r="M77" t="s">
        <v>171</v>
      </c>
      <c r="N77" t="s">
        <v>172</v>
      </c>
      <c r="O77" t="s">
        <v>173</v>
      </c>
      <c r="P77">
        <v>111</v>
      </c>
      <c r="Q77" t="s">
        <v>174</v>
      </c>
      <c r="R77">
        <v>0</v>
      </c>
      <c r="S77">
        <v>1</v>
      </c>
      <c r="T77">
        <v>37.5</v>
      </c>
      <c r="U77">
        <v>0</v>
      </c>
      <c r="V77">
        <v>0.0022123893805309734</v>
      </c>
      <c r="W77">
        <v>1</v>
      </c>
      <c r="X77">
        <v>0</v>
      </c>
      <c r="Z77">
        <v>0</v>
      </c>
      <c r="AA77">
        <v>15</v>
      </c>
      <c r="AB77">
        <v>0</v>
      </c>
      <c r="AC77">
        <v>0</v>
      </c>
      <c r="AD77">
        <v>15</v>
      </c>
      <c r="AE77">
        <v>15</v>
      </c>
      <c r="AG77">
        <v>45</v>
      </c>
      <c r="AH77">
        <v>0</v>
      </c>
      <c r="AI77">
        <v>56.25</v>
      </c>
      <c r="AJ77">
        <v>56.25</v>
      </c>
    </row>
    <row r="78" spans="1:36" x14ac:dyDescent="0.25">
      <c r="A78" t="s">
        <v>165</v>
      </c>
      <c r="B78" t="s">
        <v>16</v>
      </c>
      <c r="C78">
        <v>4970875</v>
      </c>
      <c r="D78" t="s">
        <v>36</v>
      </c>
      <c r="E78" t="s">
        <v>166</v>
      </c>
      <c r="F78" t="s">
        <v>167</v>
      </c>
      <c r="G78">
        <v>7886002673</v>
      </c>
      <c r="H78" t="s">
        <v>168</v>
      </c>
      <c r="I78" t="s">
        <v>18</v>
      </c>
      <c r="J78" t="s">
        <v>169</v>
      </c>
      <c r="K78" t="s">
        <v>37</v>
      </c>
      <c r="L78" t="s">
        <v>170</v>
      </c>
      <c r="M78" t="s">
        <v>171</v>
      </c>
      <c r="N78" t="s">
        <v>172</v>
      </c>
      <c r="O78" t="s">
        <v>175</v>
      </c>
      <c r="P78">
        <v>19</v>
      </c>
      <c r="Q78" t="s">
        <v>174</v>
      </c>
      <c r="R78">
        <v>1</v>
      </c>
      <c r="S78">
        <v>1</v>
      </c>
      <c r="T78">
        <v>100</v>
      </c>
      <c r="U78">
        <v>0</v>
      </c>
      <c r="V78">
        <v>1</v>
      </c>
      <c r="W78">
        <v>0</v>
      </c>
      <c r="Z78">
        <v>15</v>
      </c>
      <c r="AA78">
        <v>15</v>
      </c>
      <c r="AB78">
        <v>20</v>
      </c>
      <c r="AC78">
        <v>0</v>
      </c>
      <c r="AD78">
        <v>0</v>
      </c>
      <c r="AE78">
        <v>0</v>
      </c>
      <c r="AG78">
        <v>50</v>
      </c>
      <c r="AH78">
        <v>0</v>
      </c>
      <c r="AI78">
        <v>37.5</v>
      </c>
      <c r="AJ78">
        <v>37.5</v>
      </c>
    </row>
    <row r="79" spans="1:36" x14ac:dyDescent="0.25">
      <c r="A79" t="s">
        <v>165</v>
      </c>
      <c r="B79" t="s">
        <v>16</v>
      </c>
      <c r="C79">
        <v>8215895</v>
      </c>
      <c r="D79" t="s">
        <v>122</v>
      </c>
      <c r="E79" t="s">
        <v>166</v>
      </c>
      <c r="F79" t="s">
        <v>167</v>
      </c>
      <c r="G79">
        <v>7886002380</v>
      </c>
      <c r="H79" t="s">
        <v>177</v>
      </c>
      <c r="I79" t="s">
        <v>18</v>
      </c>
      <c r="J79" t="s">
        <v>169</v>
      </c>
      <c r="K79" t="s">
        <v>139</v>
      </c>
      <c r="L79" t="s">
        <v>170</v>
      </c>
      <c r="M79" t="s">
        <v>183</v>
      </c>
      <c r="N79" t="s">
        <v>172</v>
      </c>
      <c r="O79" t="s">
        <v>173</v>
      </c>
      <c r="P79">
        <v>34</v>
      </c>
      <c r="Q79" t="s">
        <v>174</v>
      </c>
      <c r="R79">
        <v>1</v>
      </c>
      <c r="S79">
        <v>1</v>
      </c>
      <c r="T79">
        <v>50</v>
      </c>
      <c r="U79">
        <v>0</v>
      </c>
      <c r="V79">
        <v>1</v>
      </c>
      <c r="W79">
        <v>1</v>
      </c>
      <c r="Z79">
        <v>15</v>
      </c>
      <c r="AA79">
        <v>15</v>
      </c>
      <c r="AB79">
        <v>0</v>
      </c>
      <c r="AC79">
        <v>0</v>
      </c>
      <c r="AD79">
        <v>0</v>
      </c>
      <c r="AE79">
        <v>15</v>
      </c>
      <c r="AG79">
        <v>45</v>
      </c>
      <c r="AH79">
        <v>0</v>
      </c>
      <c r="AI79">
        <v>56.25</v>
      </c>
      <c r="AJ79">
        <v>56.25</v>
      </c>
    </row>
    <row r="80" spans="1:36" x14ac:dyDescent="0.25">
      <c r="A80" t="s">
        <v>165</v>
      </c>
      <c r="B80" t="s">
        <v>16</v>
      </c>
      <c r="C80">
        <v>8398383</v>
      </c>
      <c r="D80" t="s">
        <v>97</v>
      </c>
      <c r="E80" t="s">
        <v>166</v>
      </c>
      <c r="F80" t="s">
        <v>184</v>
      </c>
      <c r="G80">
        <v>7886002481</v>
      </c>
      <c r="H80" t="s">
        <v>177</v>
      </c>
      <c r="I80" t="s">
        <v>18</v>
      </c>
      <c r="J80" t="s">
        <v>185</v>
      </c>
      <c r="K80" t="s">
        <v>141</v>
      </c>
      <c r="L80" t="s">
        <v>170</v>
      </c>
      <c r="M80" t="s">
        <v>171</v>
      </c>
      <c r="N80" t="s">
        <v>172</v>
      </c>
      <c r="O80" t="s">
        <v>176</v>
      </c>
      <c r="P80">
        <v>40</v>
      </c>
      <c r="Q80" t="s">
        <v>174</v>
      </c>
      <c r="R80">
        <v>1</v>
      </c>
      <c r="S80">
        <v>1</v>
      </c>
      <c r="T80">
        <v>50</v>
      </c>
      <c r="U80">
        <v>0</v>
      </c>
      <c r="V80">
        <v>0.011061946902654867</v>
      </c>
      <c r="W80">
        <v>0</v>
      </c>
      <c r="X80">
        <v>0</v>
      </c>
      <c r="Z80">
        <v>15</v>
      </c>
      <c r="AA80">
        <v>15</v>
      </c>
      <c r="AB80">
        <v>0</v>
      </c>
      <c r="AC80">
        <v>0</v>
      </c>
      <c r="AD80">
        <v>15</v>
      </c>
      <c r="AE80">
        <v>0</v>
      </c>
      <c r="AG80">
        <v>45</v>
      </c>
      <c r="AH80">
        <v>0</v>
      </c>
      <c r="AI80">
        <v>56.25</v>
      </c>
      <c r="AJ80">
        <v>56.25</v>
      </c>
    </row>
    <row r="81" spans="1:36" x14ac:dyDescent="0.25">
      <c r="A81" t="s">
        <v>165</v>
      </c>
      <c r="B81" t="s">
        <v>16</v>
      </c>
      <c r="C81">
        <v>5797728</v>
      </c>
      <c r="D81" t="s">
        <v>39</v>
      </c>
      <c r="E81" t="s">
        <v>166</v>
      </c>
      <c r="F81" t="s">
        <v>167</v>
      </c>
      <c r="G81">
        <v>7886002484</v>
      </c>
      <c r="H81" t="s">
        <v>177</v>
      </c>
      <c r="I81" t="s">
        <v>18</v>
      </c>
      <c r="J81" t="s">
        <v>169</v>
      </c>
      <c r="K81" t="s">
        <v>113</v>
      </c>
      <c r="L81" t="s">
        <v>178</v>
      </c>
      <c r="M81" t="s">
        <v>171</v>
      </c>
      <c r="N81" t="s">
        <v>172</v>
      </c>
      <c r="O81" t="s">
        <v>176</v>
      </c>
      <c r="P81">
        <v>41</v>
      </c>
      <c r="Q81" t="s">
        <v>174</v>
      </c>
      <c r="R81">
        <v>1</v>
      </c>
      <c r="S81">
        <v>1</v>
      </c>
      <c r="T81">
        <v>37.5</v>
      </c>
      <c r="U81">
        <v>0</v>
      </c>
      <c r="V81">
        <v>0.033185840707964605</v>
      </c>
      <c r="W81">
        <v>0</v>
      </c>
      <c r="X81">
        <v>0.28125</v>
      </c>
      <c r="Z81">
        <v>15</v>
      </c>
      <c r="AA81">
        <v>15</v>
      </c>
      <c r="AB81">
        <v>0</v>
      </c>
      <c r="AC81">
        <v>0</v>
      </c>
      <c r="AD81">
        <v>10</v>
      </c>
      <c r="AE81">
        <v>0</v>
      </c>
      <c r="AG81">
        <v>40</v>
      </c>
      <c r="AH81">
        <v>4.21875</v>
      </c>
      <c r="AI81">
        <v>50</v>
      </c>
      <c r="AJ81">
        <v>54.21875</v>
      </c>
    </row>
    <row r="82" spans="1:36" x14ac:dyDescent="0.25">
      <c r="A82" t="s">
        <v>165</v>
      </c>
      <c r="B82" t="s">
        <v>16</v>
      </c>
      <c r="C82">
        <v>5797729</v>
      </c>
      <c r="D82" t="s">
        <v>85</v>
      </c>
      <c r="E82" t="s">
        <v>166</v>
      </c>
      <c r="F82" t="s">
        <v>167</v>
      </c>
      <c r="G82">
        <v>7886002503</v>
      </c>
      <c r="H82" t="s">
        <v>177</v>
      </c>
      <c r="I82" t="s">
        <v>18</v>
      </c>
      <c r="J82" t="s">
        <v>169</v>
      </c>
      <c r="K82" t="s">
        <v>89</v>
      </c>
      <c r="L82" t="s">
        <v>178</v>
      </c>
      <c r="M82" t="s">
        <v>171</v>
      </c>
      <c r="N82" t="s">
        <v>172</v>
      </c>
      <c r="O82" t="s">
        <v>176</v>
      </c>
      <c r="P82">
        <v>17</v>
      </c>
      <c r="Q82" t="s">
        <v>174</v>
      </c>
      <c r="R82">
        <v>1</v>
      </c>
      <c r="S82">
        <v>1</v>
      </c>
      <c r="T82">
        <v>-100</v>
      </c>
      <c r="U82">
        <v>0.4</v>
      </c>
      <c r="V82">
        <v>0.004424778761061947</v>
      </c>
      <c r="W82">
        <v>0</v>
      </c>
      <c r="X82">
        <v>1</v>
      </c>
      <c r="Z82">
        <v>15</v>
      </c>
      <c r="AA82">
        <v>15</v>
      </c>
      <c r="AB82">
        <v>0</v>
      </c>
      <c r="AC82">
        <v>6</v>
      </c>
      <c r="AD82">
        <v>15</v>
      </c>
      <c r="AE82">
        <v>0</v>
      </c>
      <c r="AG82">
        <v>51</v>
      </c>
      <c r="AH82">
        <v>15</v>
      </c>
      <c r="AI82">
        <v>38.25</v>
      </c>
      <c r="AJ82">
        <v>53.25</v>
      </c>
    </row>
    <row r="83" spans="1:36" x14ac:dyDescent="0.25">
      <c r="A83" t="s">
        <v>165</v>
      </c>
      <c r="B83" t="s">
        <v>16</v>
      </c>
      <c r="C83">
        <v>4969685</v>
      </c>
      <c r="D83" t="s">
        <v>20</v>
      </c>
      <c r="E83" t="s">
        <v>166</v>
      </c>
      <c r="F83" t="s">
        <v>167</v>
      </c>
      <c r="G83">
        <v>7886002535</v>
      </c>
      <c r="H83" t="s">
        <v>168</v>
      </c>
      <c r="I83" t="s">
        <v>24</v>
      </c>
      <c r="J83" t="s">
        <v>169</v>
      </c>
      <c r="K83" t="s">
        <v>25</v>
      </c>
      <c r="L83" t="s">
        <v>170</v>
      </c>
      <c r="M83" t="s">
        <v>179</v>
      </c>
      <c r="N83" t="s">
        <v>172</v>
      </c>
      <c r="O83" t="s">
        <v>173</v>
      </c>
      <c r="P83">
        <v>55</v>
      </c>
      <c r="Q83" t="s">
        <v>181</v>
      </c>
      <c r="R83">
        <v>1</v>
      </c>
      <c r="S83">
        <v>1</v>
      </c>
      <c r="T83">
        <v>66.66666666666666</v>
      </c>
      <c r="U83">
        <v>0</v>
      </c>
      <c r="V83">
        <v>1</v>
      </c>
      <c r="W83">
        <v>0</v>
      </c>
      <c r="Z83">
        <v>15</v>
      </c>
      <c r="AA83">
        <v>15</v>
      </c>
      <c r="AB83">
        <v>18</v>
      </c>
      <c r="AC83">
        <v>0</v>
      </c>
      <c r="AD83">
        <v>0</v>
      </c>
      <c r="AE83">
        <v>0</v>
      </c>
      <c r="AG83">
        <v>48</v>
      </c>
      <c r="AH83">
        <v>0</v>
      </c>
      <c r="AI83">
        <v>60</v>
      </c>
      <c r="AJ83">
        <v>60</v>
      </c>
    </row>
    <row r="84" spans="1:36" x14ac:dyDescent="0.25">
      <c r="A84" t="s">
        <v>165</v>
      </c>
      <c r="B84" t="s">
        <v>16</v>
      </c>
      <c r="C84">
        <v>8351903</v>
      </c>
      <c r="D84" t="s">
        <v>45</v>
      </c>
      <c r="E84" t="s">
        <v>166</v>
      </c>
      <c r="F84" t="s">
        <v>167</v>
      </c>
      <c r="G84">
        <v>7886000930</v>
      </c>
      <c r="H84" t="s">
        <v>168</v>
      </c>
      <c r="I84" t="s">
        <v>18</v>
      </c>
      <c r="J84" t="s">
        <v>169</v>
      </c>
      <c r="K84" t="s">
        <v>133</v>
      </c>
      <c r="L84" t="s">
        <v>170</v>
      </c>
      <c r="M84" t="s">
        <v>171</v>
      </c>
      <c r="N84" t="s">
        <v>172</v>
      </c>
      <c r="O84" t="s">
        <v>176</v>
      </c>
      <c r="P84">
        <v>65</v>
      </c>
      <c r="Q84" t="s">
        <v>174</v>
      </c>
      <c r="R84">
        <v>0</v>
      </c>
      <c r="S84">
        <v>1</v>
      </c>
      <c r="T84">
        <v>33.33333333333333</v>
      </c>
      <c r="U84">
        <v>0</v>
      </c>
      <c r="V84">
        <v>0.00663716814159292</v>
      </c>
      <c r="W84">
        <v>0</v>
      </c>
      <c r="X84">
        <v>1</v>
      </c>
      <c r="Z84">
        <v>0</v>
      </c>
      <c r="AA84">
        <v>15</v>
      </c>
      <c r="AB84">
        <v>0</v>
      </c>
      <c r="AC84">
        <v>0</v>
      </c>
      <c r="AD84">
        <v>15</v>
      </c>
      <c r="AE84">
        <v>0</v>
      </c>
      <c r="AG84">
        <v>30</v>
      </c>
      <c r="AH84">
        <v>15</v>
      </c>
      <c r="AI84">
        <v>37.5</v>
      </c>
      <c r="AJ84">
        <v>52.5</v>
      </c>
    </row>
    <row r="85" spans="1:36" x14ac:dyDescent="0.25">
      <c r="A85" t="s">
        <v>165</v>
      </c>
      <c r="B85" t="s">
        <v>16</v>
      </c>
      <c r="C85">
        <v>4969685</v>
      </c>
      <c r="D85" t="s">
        <v>20</v>
      </c>
      <c r="E85" t="s">
        <v>166</v>
      </c>
      <c r="F85" t="s">
        <v>167</v>
      </c>
      <c r="G85">
        <v>7886002772</v>
      </c>
      <c r="H85" t="s">
        <v>177</v>
      </c>
      <c r="I85" t="s">
        <v>18</v>
      </c>
      <c r="J85" t="s">
        <v>169</v>
      </c>
      <c r="K85" t="s">
        <v>115</v>
      </c>
      <c r="L85" t="s">
        <v>170</v>
      </c>
      <c r="M85" t="s">
        <v>179</v>
      </c>
      <c r="N85" t="s">
        <v>172</v>
      </c>
      <c r="O85" t="s">
        <v>176</v>
      </c>
      <c r="P85">
        <v>16</v>
      </c>
      <c r="Q85" t="s">
        <v>174</v>
      </c>
      <c r="R85">
        <v>1</v>
      </c>
      <c r="S85">
        <v>1</v>
      </c>
      <c r="T85">
        <v>0</v>
      </c>
      <c r="U85">
        <v>0</v>
      </c>
      <c r="V85">
        <v>0.011061946902654867</v>
      </c>
      <c r="W85">
        <v>0</v>
      </c>
      <c r="X85">
        <v>1</v>
      </c>
      <c r="Z85">
        <v>15</v>
      </c>
      <c r="AA85">
        <v>15</v>
      </c>
      <c r="AB85">
        <v>0</v>
      </c>
      <c r="AC85">
        <v>0</v>
      </c>
      <c r="AD85">
        <v>15</v>
      </c>
      <c r="AE85">
        <v>0</v>
      </c>
      <c r="AG85">
        <v>45</v>
      </c>
      <c r="AH85">
        <v>15</v>
      </c>
      <c r="AI85">
        <v>33.75</v>
      </c>
      <c r="AJ85">
        <v>48.75</v>
      </c>
    </row>
    <row r="86" spans="1:36" x14ac:dyDescent="0.25">
      <c r="A86" t="s">
        <v>165</v>
      </c>
      <c r="B86" t="s">
        <v>16</v>
      </c>
      <c r="C86">
        <v>5797729</v>
      </c>
      <c r="D86" t="s">
        <v>85</v>
      </c>
      <c r="E86" t="s">
        <v>166</v>
      </c>
      <c r="F86" t="s">
        <v>167</v>
      </c>
      <c r="G86">
        <v>7886002504</v>
      </c>
      <c r="H86" t="s">
        <v>177</v>
      </c>
      <c r="I86" t="s">
        <v>75</v>
      </c>
      <c r="J86" t="s">
        <v>169</v>
      </c>
      <c r="K86" t="s">
        <v>121</v>
      </c>
      <c r="L86" t="s">
        <v>178</v>
      </c>
      <c r="M86" t="s">
        <v>171</v>
      </c>
      <c r="N86" t="s">
        <v>172</v>
      </c>
      <c r="O86" t="s">
        <v>176</v>
      </c>
      <c r="P86">
        <v>19</v>
      </c>
      <c r="Q86" t="s">
        <v>174</v>
      </c>
      <c r="R86">
        <v>1</v>
      </c>
      <c r="S86">
        <v>1</v>
      </c>
      <c r="T86">
        <v>0</v>
      </c>
      <c r="U86">
        <v>0</v>
      </c>
      <c r="V86">
        <v>0.0022123893805309734</v>
      </c>
      <c r="W86">
        <v>0</v>
      </c>
      <c r="X86">
        <v>1</v>
      </c>
      <c r="Z86">
        <v>15</v>
      </c>
      <c r="AA86">
        <v>15</v>
      </c>
      <c r="AB86">
        <v>0</v>
      </c>
      <c r="AC86">
        <v>0</v>
      </c>
      <c r="AD86">
        <v>15</v>
      </c>
      <c r="AE86">
        <v>0</v>
      </c>
      <c r="AG86">
        <v>45</v>
      </c>
      <c r="AH86">
        <v>15</v>
      </c>
      <c r="AI86">
        <v>33.75</v>
      </c>
      <c r="AJ86">
        <v>48.75</v>
      </c>
    </row>
    <row r="87" spans="1:36" x14ac:dyDescent="0.25">
      <c r="A87" t="s">
        <v>165</v>
      </c>
      <c r="B87" t="s">
        <v>16</v>
      </c>
      <c r="C87">
        <v>9203499</v>
      </c>
      <c r="D87" t="s">
        <v>28</v>
      </c>
      <c r="E87" t="s">
        <v>166</v>
      </c>
      <c r="F87" t="s">
        <v>167</v>
      </c>
      <c r="G87">
        <v>7886001399</v>
      </c>
      <c r="H87" t="s">
        <v>177</v>
      </c>
      <c r="I87" t="s">
        <v>18</v>
      </c>
      <c r="J87" t="s">
        <v>169</v>
      </c>
      <c r="K87" t="s">
        <v>101</v>
      </c>
      <c r="L87" t="s">
        <v>170</v>
      </c>
      <c r="M87" t="s">
        <v>183</v>
      </c>
      <c r="N87" t="s">
        <v>186</v>
      </c>
      <c r="O87" t="s">
        <v>176</v>
      </c>
      <c r="P87">
        <v>9</v>
      </c>
      <c r="Q87" t="s">
        <v>174</v>
      </c>
      <c r="R87">
        <v>1</v>
      </c>
      <c r="S87">
        <v>1</v>
      </c>
      <c r="T87">
        <v>100</v>
      </c>
      <c r="U87">
        <v>0</v>
      </c>
      <c r="V87">
        <v>0.0022123893805309734</v>
      </c>
      <c r="W87">
        <v>0</v>
      </c>
      <c r="X87">
        <v>1</v>
      </c>
      <c r="Z87">
        <v>15</v>
      </c>
      <c r="AA87">
        <v>15</v>
      </c>
      <c r="AB87">
        <v>20</v>
      </c>
      <c r="AC87">
        <v>0</v>
      </c>
      <c r="AD87">
        <v>15</v>
      </c>
      <c r="AE87">
        <v>0</v>
      </c>
      <c r="AG87">
        <v>65</v>
      </c>
      <c r="AH87">
        <v>15</v>
      </c>
      <c r="AI87">
        <v>32.5</v>
      </c>
      <c r="AJ87">
        <v>47.5</v>
      </c>
    </row>
    <row r="88" spans="1:36" x14ac:dyDescent="0.25">
      <c r="A88" t="s">
        <v>165</v>
      </c>
      <c r="B88" t="s">
        <v>16</v>
      </c>
      <c r="C88">
        <v>9203499</v>
      </c>
      <c r="D88" t="s">
        <v>28</v>
      </c>
      <c r="E88" t="s">
        <v>166</v>
      </c>
      <c r="F88" t="s">
        <v>167</v>
      </c>
      <c r="G88">
        <v>7886002642</v>
      </c>
      <c r="H88" t="s">
        <v>177</v>
      </c>
      <c r="I88" t="s">
        <v>18</v>
      </c>
      <c r="J88" t="s">
        <v>169</v>
      </c>
      <c r="K88" t="s">
        <v>34</v>
      </c>
      <c r="L88" t="s">
        <v>182</v>
      </c>
      <c r="M88" t="s">
        <v>183</v>
      </c>
      <c r="N88" t="s">
        <v>172</v>
      </c>
      <c r="O88" t="s">
        <v>173</v>
      </c>
      <c r="P88">
        <v>8</v>
      </c>
      <c r="Q88" t="s">
        <v>174</v>
      </c>
      <c r="R88">
        <v>1</v>
      </c>
      <c r="S88">
        <v>1</v>
      </c>
      <c r="T88">
        <v>100</v>
      </c>
      <c r="U88">
        <v>0</v>
      </c>
      <c r="V88">
        <v>0.004424778761061947</v>
      </c>
      <c r="W88">
        <v>0</v>
      </c>
      <c r="X88">
        <v>1</v>
      </c>
      <c r="Z88">
        <v>15</v>
      </c>
      <c r="AA88">
        <v>15</v>
      </c>
      <c r="AB88">
        <v>20</v>
      </c>
      <c r="AC88">
        <v>0</v>
      </c>
      <c r="AD88">
        <v>15</v>
      </c>
      <c r="AE88">
        <v>0</v>
      </c>
      <c r="AG88">
        <v>65</v>
      </c>
      <c r="AH88">
        <v>15</v>
      </c>
      <c r="AI88">
        <v>32.5</v>
      </c>
      <c r="AJ88">
        <v>47.5</v>
      </c>
    </row>
    <row r="89" spans="1:36" x14ac:dyDescent="0.25">
      <c r="A89" t="s">
        <v>165</v>
      </c>
      <c r="B89" t="s">
        <v>16</v>
      </c>
      <c r="C89">
        <v>5797728</v>
      </c>
      <c r="D89" t="s">
        <v>39</v>
      </c>
      <c r="E89" t="s">
        <v>166</v>
      </c>
      <c r="F89" t="s">
        <v>167</v>
      </c>
      <c r="G89">
        <v>7886002721</v>
      </c>
      <c r="H89" t="s">
        <v>168</v>
      </c>
      <c r="I89" t="s">
        <v>18</v>
      </c>
      <c r="J89" t="s">
        <v>169</v>
      </c>
      <c r="K89" t="s">
        <v>84</v>
      </c>
      <c r="L89" t="s">
        <v>170</v>
      </c>
      <c r="M89" t="s">
        <v>171</v>
      </c>
      <c r="N89" t="s">
        <v>172</v>
      </c>
      <c r="O89" t="s">
        <v>176</v>
      </c>
      <c r="P89">
        <v>76</v>
      </c>
      <c r="Q89" t="s">
        <v>174</v>
      </c>
      <c r="R89">
        <v>0</v>
      </c>
      <c r="S89">
        <v>1</v>
      </c>
      <c r="T89">
        <v>100</v>
      </c>
      <c r="U89">
        <v>0</v>
      </c>
      <c r="V89">
        <v>1</v>
      </c>
      <c r="W89">
        <v>0</v>
      </c>
      <c r="X89">
        <v>0.09090909090909091</v>
      </c>
      <c r="Z89">
        <v>0</v>
      </c>
      <c r="AA89">
        <v>15</v>
      </c>
      <c r="AB89">
        <v>20</v>
      </c>
      <c r="AC89">
        <v>0</v>
      </c>
      <c r="AD89">
        <v>0</v>
      </c>
      <c r="AE89">
        <v>0</v>
      </c>
      <c r="AG89">
        <v>35</v>
      </c>
      <c r="AH89">
        <v>1.3636363636363638</v>
      </c>
      <c r="AI89">
        <v>43.75</v>
      </c>
      <c r="AJ89">
        <v>45.11363636363637</v>
      </c>
    </row>
    <row r="90" spans="1:36" x14ac:dyDescent="0.25">
      <c r="A90" t="s">
        <v>165</v>
      </c>
      <c r="B90" t="s">
        <v>16</v>
      </c>
      <c r="C90">
        <v>9390474</v>
      </c>
      <c r="D90" t="s">
        <v>30</v>
      </c>
      <c r="E90" t="s">
        <v>166</v>
      </c>
      <c r="F90" t="s">
        <v>184</v>
      </c>
      <c r="G90">
        <v>7886002144</v>
      </c>
      <c r="H90" t="s">
        <v>177</v>
      </c>
      <c r="I90" t="s">
        <v>18</v>
      </c>
      <c r="J90" t="s">
        <v>185</v>
      </c>
      <c r="K90" t="s">
        <v>31</v>
      </c>
      <c r="L90" t="s">
        <v>170</v>
      </c>
      <c r="M90" t="s">
        <v>171</v>
      </c>
      <c r="N90" t="s">
        <v>172</v>
      </c>
      <c r="O90" t="s">
        <v>173</v>
      </c>
      <c r="P90">
        <v>23</v>
      </c>
      <c r="Q90" t="s">
        <v>174</v>
      </c>
      <c r="R90">
        <v>1</v>
      </c>
      <c r="S90">
        <v>1</v>
      </c>
      <c r="T90">
        <v>0</v>
      </c>
      <c r="U90">
        <v>0</v>
      </c>
      <c r="V90">
        <v>1</v>
      </c>
      <c r="W90">
        <v>0</v>
      </c>
      <c r="Z90">
        <v>15</v>
      </c>
      <c r="AA90">
        <v>15</v>
      </c>
      <c r="AB90">
        <v>0</v>
      </c>
      <c r="AC90">
        <v>0</v>
      </c>
      <c r="AD90">
        <v>0</v>
      </c>
      <c r="AE90">
        <v>0</v>
      </c>
      <c r="AG90">
        <v>30</v>
      </c>
      <c r="AH90">
        <v>0</v>
      </c>
      <c r="AI90">
        <v>37.5</v>
      </c>
      <c r="AJ90">
        <v>37.5</v>
      </c>
    </row>
    <row r="91" spans="1:36" x14ac:dyDescent="0.25">
      <c r="A91" t="s">
        <v>165</v>
      </c>
      <c r="B91" t="s">
        <v>16</v>
      </c>
      <c r="C91">
        <v>1390788</v>
      </c>
      <c r="D91" t="s">
        <v>47</v>
      </c>
      <c r="E91" t="s">
        <v>166</v>
      </c>
      <c r="F91" t="s">
        <v>167</v>
      </c>
      <c r="G91">
        <v>7886002410</v>
      </c>
      <c r="H91" t="s">
        <v>168</v>
      </c>
      <c r="I91" t="s">
        <v>24</v>
      </c>
      <c r="J91" t="s">
        <v>169</v>
      </c>
      <c r="K91" t="s">
        <v>50</v>
      </c>
      <c r="L91" t="s">
        <v>170</v>
      </c>
      <c r="M91" t="s">
        <v>183</v>
      </c>
      <c r="N91" t="s">
        <v>172</v>
      </c>
      <c r="O91" t="s">
        <v>173</v>
      </c>
      <c r="P91">
        <v>96</v>
      </c>
      <c r="Q91" t="s">
        <v>181</v>
      </c>
      <c r="R91">
        <v>1</v>
      </c>
      <c r="S91">
        <v>1</v>
      </c>
      <c r="T91">
        <v>55.55555555555556</v>
      </c>
      <c r="U91">
        <v>0</v>
      </c>
      <c r="V91">
        <v>1</v>
      </c>
      <c r="W91">
        <v>0</v>
      </c>
      <c r="Z91">
        <v>15</v>
      </c>
      <c r="AA91">
        <v>15</v>
      </c>
      <c r="AB91">
        <v>0</v>
      </c>
      <c r="AC91">
        <v>0</v>
      </c>
      <c r="AD91">
        <v>0</v>
      </c>
      <c r="AE91">
        <v>0</v>
      </c>
      <c r="AG91">
        <v>30</v>
      </c>
      <c r="AH91">
        <v>0</v>
      </c>
      <c r="AI91">
        <v>37.5</v>
      </c>
      <c r="AJ91">
        <v>37.5</v>
      </c>
    </row>
    <row r="92" spans="1:36" x14ac:dyDescent="0.25">
      <c r="A92" t="s">
        <v>165</v>
      </c>
      <c r="B92" t="s">
        <v>16</v>
      </c>
      <c r="C92">
        <v>4162738</v>
      </c>
      <c r="D92" t="s">
        <v>57</v>
      </c>
      <c r="E92" t="s">
        <v>166</v>
      </c>
      <c r="F92" t="s">
        <v>184</v>
      </c>
      <c r="G92">
        <v>7886002794</v>
      </c>
      <c r="H92" t="s">
        <v>177</v>
      </c>
      <c r="I92" t="s">
        <v>18</v>
      </c>
      <c r="J92" t="s">
        <v>185</v>
      </c>
      <c r="K92" t="s">
        <v>70</v>
      </c>
      <c r="L92" t="s">
        <v>170</v>
      </c>
      <c r="M92" t="s">
        <v>171</v>
      </c>
      <c r="N92" t="s">
        <v>172</v>
      </c>
      <c r="O92" t="s">
        <v>173</v>
      </c>
      <c r="P92">
        <v>55</v>
      </c>
      <c r="Q92" t="s">
        <v>174</v>
      </c>
      <c r="R92">
        <v>1</v>
      </c>
      <c r="S92">
        <v>1</v>
      </c>
      <c r="T92">
        <v>20</v>
      </c>
      <c r="U92">
        <v>0</v>
      </c>
      <c r="V92">
        <v>1</v>
      </c>
      <c r="W92">
        <v>0</v>
      </c>
      <c r="Z92">
        <v>15</v>
      </c>
      <c r="AA92">
        <v>15</v>
      </c>
      <c r="AB92">
        <v>0</v>
      </c>
      <c r="AC92">
        <v>0</v>
      </c>
      <c r="AD92">
        <v>0</v>
      </c>
      <c r="AE92">
        <v>0</v>
      </c>
      <c r="AG92">
        <v>30</v>
      </c>
      <c r="AH92">
        <v>0</v>
      </c>
      <c r="AI92">
        <v>37.5</v>
      </c>
      <c r="AJ92">
        <v>37.5</v>
      </c>
    </row>
    <row r="93" spans="1:36" x14ac:dyDescent="0.25">
      <c r="A93" t="s">
        <v>165</v>
      </c>
      <c r="B93" t="s">
        <v>16</v>
      </c>
      <c r="C93">
        <v>3489862</v>
      </c>
      <c r="D93" t="s">
        <v>67</v>
      </c>
      <c r="E93" t="s">
        <v>166</v>
      </c>
      <c r="F93" t="s">
        <v>167</v>
      </c>
      <c r="G93">
        <v>7886000482</v>
      </c>
      <c r="H93" t="s">
        <v>177</v>
      </c>
      <c r="I93" t="s">
        <v>18</v>
      </c>
      <c r="J93" t="s">
        <v>169</v>
      </c>
      <c r="K93" t="s">
        <v>34</v>
      </c>
      <c r="L93" t="s">
        <v>182</v>
      </c>
      <c r="M93" t="s">
        <v>183</v>
      </c>
      <c r="N93" t="s">
        <v>172</v>
      </c>
      <c r="O93" t="s">
        <v>173</v>
      </c>
      <c r="P93">
        <v>38</v>
      </c>
      <c r="Q93" t="s">
        <v>174</v>
      </c>
      <c r="R93">
        <v>0</v>
      </c>
      <c r="S93">
        <v>1</v>
      </c>
      <c r="T93">
        <v>50</v>
      </c>
      <c r="U93">
        <v>0</v>
      </c>
      <c r="V93">
        <v>1</v>
      </c>
      <c r="W93">
        <v>1</v>
      </c>
      <c r="Z93">
        <v>0</v>
      </c>
      <c r="AA93">
        <v>15</v>
      </c>
      <c r="AB93">
        <v>0</v>
      </c>
      <c r="AC93">
        <v>0</v>
      </c>
      <c r="AD93">
        <v>0</v>
      </c>
      <c r="AE93">
        <v>15</v>
      </c>
      <c r="AG93">
        <v>30</v>
      </c>
      <c r="AH93">
        <v>0</v>
      </c>
      <c r="AI93">
        <v>37.5</v>
      </c>
      <c r="AJ93">
        <v>37.5</v>
      </c>
    </row>
    <row r="94" spans="1:36" x14ac:dyDescent="0.25">
      <c r="A94" t="s">
        <v>165</v>
      </c>
      <c r="B94" t="s">
        <v>16</v>
      </c>
      <c r="C94">
        <v>1390788</v>
      </c>
      <c r="D94" t="s">
        <v>47</v>
      </c>
      <c r="E94" t="s">
        <v>166</v>
      </c>
      <c r="F94" t="s">
        <v>167</v>
      </c>
      <c r="G94">
        <v>7886002360</v>
      </c>
      <c r="H94" t="s">
        <v>177</v>
      </c>
      <c r="I94" t="s">
        <v>24</v>
      </c>
      <c r="J94" t="s">
        <v>169</v>
      </c>
      <c r="K94" t="s">
        <v>49</v>
      </c>
      <c r="L94" t="s">
        <v>170</v>
      </c>
      <c r="M94" t="s">
        <v>183</v>
      </c>
      <c r="N94" t="s">
        <v>172</v>
      </c>
      <c r="O94" t="s">
        <v>173</v>
      </c>
      <c r="P94">
        <v>19</v>
      </c>
      <c r="Q94" t="s">
        <v>181</v>
      </c>
      <c r="R94">
        <v>1</v>
      </c>
      <c r="S94">
        <v>1</v>
      </c>
      <c r="T94">
        <v>-66.66666666666666</v>
      </c>
      <c r="U94">
        <v>0</v>
      </c>
      <c r="V94">
        <v>1</v>
      </c>
      <c r="W94">
        <v>1</v>
      </c>
      <c r="Z94">
        <v>15</v>
      </c>
      <c r="AA94">
        <v>15</v>
      </c>
      <c r="AB94">
        <v>0</v>
      </c>
      <c r="AC94">
        <v>0</v>
      </c>
      <c r="AD94">
        <v>0</v>
      </c>
      <c r="AE94">
        <v>15</v>
      </c>
      <c r="AG94">
        <v>45</v>
      </c>
      <c r="AH94">
        <v>0</v>
      </c>
      <c r="AI94">
        <v>33.75</v>
      </c>
      <c r="AJ94">
        <v>33.75</v>
      </c>
    </row>
    <row r="95" spans="1:36" x14ac:dyDescent="0.25">
      <c r="A95" t="s">
        <v>165</v>
      </c>
      <c r="B95" t="s">
        <v>16</v>
      </c>
      <c r="C95">
        <v>9203501</v>
      </c>
      <c r="D95" t="s">
        <v>43</v>
      </c>
      <c r="E95" t="s">
        <v>166</v>
      </c>
      <c r="F95" t="s">
        <v>167</v>
      </c>
      <c r="G95">
        <v>7886002564</v>
      </c>
      <c r="H95" t="s">
        <v>177</v>
      </c>
      <c r="I95" t="s">
        <v>18</v>
      </c>
      <c r="J95" t="s">
        <v>169</v>
      </c>
      <c r="K95" t="s">
        <v>104</v>
      </c>
      <c r="L95" t="s">
        <v>170</v>
      </c>
      <c r="M95" t="s">
        <v>171</v>
      </c>
      <c r="N95" t="s">
        <v>172</v>
      </c>
      <c r="O95" t="s">
        <v>175</v>
      </c>
      <c r="P95">
        <v>18</v>
      </c>
      <c r="Q95" t="s">
        <v>174</v>
      </c>
      <c r="R95">
        <v>1</v>
      </c>
      <c r="S95">
        <v>1</v>
      </c>
      <c r="T95">
        <v>50</v>
      </c>
      <c r="U95">
        <v>0</v>
      </c>
      <c r="V95">
        <v>1</v>
      </c>
      <c r="W95">
        <v>1</v>
      </c>
      <c r="Z95">
        <v>15</v>
      </c>
      <c r="AA95">
        <v>15</v>
      </c>
      <c r="AB95">
        <v>0</v>
      </c>
      <c r="AC95">
        <v>0</v>
      </c>
      <c r="AD95">
        <v>0</v>
      </c>
      <c r="AE95">
        <v>15</v>
      </c>
      <c r="AG95">
        <v>45</v>
      </c>
      <c r="AH95">
        <v>0</v>
      </c>
      <c r="AI95">
        <v>33.75</v>
      </c>
      <c r="AJ95">
        <v>33.75</v>
      </c>
    </row>
    <row r="96" spans="1:36" x14ac:dyDescent="0.25">
      <c r="A96" t="s">
        <v>165</v>
      </c>
      <c r="B96" t="s">
        <v>16</v>
      </c>
      <c r="C96">
        <v>9203505</v>
      </c>
      <c r="D96" t="s">
        <v>127</v>
      </c>
      <c r="E96" t="s">
        <v>166</v>
      </c>
      <c r="F96" t="s">
        <v>184</v>
      </c>
      <c r="G96">
        <v>7886000617</v>
      </c>
      <c r="H96" t="s">
        <v>177</v>
      </c>
      <c r="I96" t="s">
        <v>18</v>
      </c>
      <c r="J96" t="s">
        <v>185</v>
      </c>
      <c r="K96" t="s">
        <v>34</v>
      </c>
      <c r="L96" t="s">
        <v>182</v>
      </c>
      <c r="M96" t="s">
        <v>171</v>
      </c>
      <c r="N96" t="s">
        <v>172</v>
      </c>
      <c r="O96" t="s">
        <v>173</v>
      </c>
      <c r="P96">
        <v>18</v>
      </c>
      <c r="Q96" t="s">
        <v>174</v>
      </c>
      <c r="R96">
        <v>1</v>
      </c>
      <c r="S96">
        <v>1</v>
      </c>
      <c r="T96">
        <v>-50</v>
      </c>
      <c r="U96">
        <v>0</v>
      </c>
      <c r="V96">
        <v>1</v>
      </c>
      <c r="W96">
        <v>1</v>
      </c>
      <c r="Z96">
        <v>15</v>
      </c>
      <c r="AA96">
        <v>15</v>
      </c>
      <c r="AB96">
        <v>0</v>
      </c>
      <c r="AC96">
        <v>0</v>
      </c>
      <c r="AD96">
        <v>0</v>
      </c>
      <c r="AE96">
        <v>15</v>
      </c>
      <c r="AG96">
        <v>45</v>
      </c>
      <c r="AH96">
        <v>0</v>
      </c>
      <c r="AI96">
        <v>33.75</v>
      </c>
      <c r="AJ96">
        <v>33.75</v>
      </c>
    </row>
    <row r="97" spans="1:36" x14ac:dyDescent="0.25">
      <c r="A97" t="s">
        <v>165</v>
      </c>
      <c r="B97" t="s">
        <v>16</v>
      </c>
      <c r="C97">
        <v>4162738</v>
      </c>
      <c r="D97" t="s">
        <v>57</v>
      </c>
      <c r="E97" t="s">
        <v>166</v>
      </c>
      <c r="F97" t="s">
        <v>184</v>
      </c>
      <c r="G97">
        <v>7886002234</v>
      </c>
      <c r="H97" t="s">
        <v>177</v>
      </c>
      <c r="I97" t="s">
        <v>18</v>
      </c>
      <c r="J97" t="s">
        <v>185</v>
      </c>
      <c r="K97" t="s">
        <v>114</v>
      </c>
      <c r="L97" t="s">
        <v>170</v>
      </c>
      <c r="M97" t="s">
        <v>171</v>
      </c>
      <c r="N97" t="s">
        <v>172</v>
      </c>
      <c r="O97" t="s">
        <v>176</v>
      </c>
      <c r="P97">
        <v>4</v>
      </c>
      <c r="Q97" t="s">
        <v>174</v>
      </c>
      <c r="R97">
        <v>1</v>
      </c>
      <c r="S97">
        <v>1</v>
      </c>
      <c r="T97">
        <v>95.83333333333334</v>
      </c>
      <c r="U97">
        <v>0</v>
      </c>
      <c r="V97">
        <v>0.015486725663716814</v>
      </c>
      <c r="W97">
        <v>0</v>
      </c>
      <c r="X97">
        <v>0</v>
      </c>
      <c r="Z97">
        <v>15</v>
      </c>
      <c r="AA97">
        <v>15</v>
      </c>
      <c r="AB97">
        <v>20</v>
      </c>
      <c r="AC97">
        <v>0</v>
      </c>
      <c r="AD97">
        <v>15</v>
      </c>
      <c r="AE97">
        <v>0</v>
      </c>
      <c r="AG97">
        <v>65</v>
      </c>
      <c r="AH97">
        <v>0</v>
      </c>
      <c r="AI97">
        <v>32.5</v>
      </c>
      <c r="AJ97">
        <v>32.5</v>
      </c>
    </row>
    <row r="98" spans="1:36" x14ac:dyDescent="0.25">
      <c r="A98" t="s">
        <v>165</v>
      </c>
      <c r="B98" t="s">
        <v>16</v>
      </c>
      <c r="C98">
        <v>4162738</v>
      </c>
      <c r="D98" t="s">
        <v>57</v>
      </c>
      <c r="E98" t="s">
        <v>166</v>
      </c>
      <c r="F98" t="s">
        <v>184</v>
      </c>
      <c r="G98">
        <v>7886002670</v>
      </c>
      <c r="H98" t="s">
        <v>177</v>
      </c>
      <c r="I98" t="s">
        <v>18</v>
      </c>
      <c r="J98" t="s">
        <v>185</v>
      </c>
      <c r="K98" t="s">
        <v>34</v>
      </c>
      <c r="L98" t="s">
        <v>182</v>
      </c>
      <c r="M98" t="s">
        <v>171</v>
      </c>
      <c r="N98" t="s">
        <v>172</v>
      </c>
      <c r="O98" t="s">
        <v>173</v>
      </c>
      <c r="P98">
        <v>0</v>
      </c>
      <c r="Q98" t="s">
        <v>174</v>
      </c>
      <c r="R98">
        <v>1</v>
      </c>
      <c r="S98">
        <v>1</v>
      </c>
      <c r="T98">
        <v>100</v>
      </c>
      <c r="U98">
        <v>0</v>
      </c>
      <c r="V98">
        <v>1</v>
      </c>
      <c r="W98">
        <v>0</v>
      </c>
      <c r="Z98">
        <v>15</v>
      </c>
      <c r="AA98">
        <v>15</v>
      </c>
      <c r="AB98">
        <v>20</v>
      </c>
      <c r="AC98">
        <v>0</v>
      </c>
      <c r="AD98">
        <v>0</v>
      </c>
      <c r="AE98">
        <v>0</v>
      </c>
      <c r="AG98">
        <v>50</v>
      </c>
      <c r="AH98">
        <v>0</v>
      </c>
      <c r="AI98">
        <v>25</v>
      </c>
      <c r="AJ98">
        <v>25</v>
      </c>
    </row>
    <row r="99" spans="1:36" x14ac:dyDescent="0.25">
      <c r="A99" t="s">
        <v>165</v>
      </c>
      <c r="B99" t="s">
        <v>16</v>
      </c>
      <c r="C99">
        <v>9372701</v>
      </c>
      <c r="D99" t="s">
        <v>53</v>
      </c>
      <c r="E99" t="s">
        <v>166</v>
      </c>
      <c r="F99" t="s">
        <v>167</v>
      </c>
      <c r="G99">
        <v>7886002666</v>
      </c>
      <c r="H99" t="s">
        <v>177</v>
      </c>
      <c r="I99" t="s">
        <v>24</v>
      </c>
      <c r="J99" t="s">
        <v>169</v>
      </c>
      <c r="K99" t="s">
        <v>126</v>
      </c>
      <c r="L99" t="s">
        <v>170</v>
      </c>
      <c r="M99" t="s">
        <v>179</v>
      </c>
      <c r="N99" t="s">
        <v>180</v>
      </c>
      <c r="O99" t="s">
        <v>176</v>
      </c>
      <c r="P99">
        <v>0</v>
      </c>
      <c r="Q99" t="s">
        <v>181</v>
      </c>
      <c r="R99">
        <v>1</v>
      </c>
      <c r="S99">
        <v>1</v>
      </c>
      <c r="T99">
        <v>0</v>
      </c>
      <c r="U99">
        <v>0</v>
      </c>
      <c r="V99">
        <v>0.0022123893805309734</v>
      </c>
      <c r="W99">
        <v>0</v>
      </c>
      <c r="Z99">
        <v>15</v>
      </c>
      <c r="AA99">
        <v>15</v>
      </c>
      <c r="AB99">
        <v>0</v>
      </c>
      <c r="AC99">
        <v>0</v>
      </c>
      <c r="AD99">
        <v>15</v>
      </c>
      <c r="AE99">
        <v>0</v>
      </c>
      <c r="AG99">
        <v>45</v>
      </c>
      <c r="AH99">
        <v>0</v>
      </c>
      <c r="AI99">
        <v>22.5</v>
      </c>
      <c r="AJ99">
        <v>22.5</v>
      </c>
    </row>
    <row r="100" spans="1:36" x14ac:dyDescent="0.25">
      <c r="A100" t="s">
        <v>165</v>
      </c>
      <c r="B100" t="s">
        <v>16</v>
      </c>
      <c r="C100">
        <v>3489862</v>
      </c>
      <c r="D100" t="s">
        <v>67</v>
      </c>
      <c r="E100" t="s">
        <v>166</v>
      </c>
      <c r="F100" t="s">
        <v>167</v>
      </c>
      <c r="G100">
        <v>7886002385</v>
      </c>
      <c r="H100" t="s">
        <v>177</v>
      </c>
      <c r="I100" t="s">
        <v>18</v>
      </c>
      <c r="J100" t="s">
        <v>169</v>
      </c>
      <c r="K100" t="s">
        <v>131</v>
      </c>
      <c r="L100" t="s">
        <v>170</v>
      </c>
      <c r="M100" t="s">
        <v>183</v>
      </c>
      <c r="N100" t="s">
        <v>172</v>
      </c>
      <c r="O100" t="s">
        <v>173</v>
      </c>
      <c r="P100">
        <v>11</v>
      </c>
      <c r="Q100" t="s">
        <v>174</v>
      </c>
      <c r="R100">
        <v>1</v>
      </c>
      <c r="S100">
        <v>1</v>
      </c>
      <c r="T100">
        <v>0</v>
      </c>
      <c r="U100">
        <v>0</v>
      </c>
      <c r="V100">
        <v>1</v>
      </c>
      <c r="W100">
        <v>0</v>
      </c>
      <c r="Z100">
        <v>15</v>
      </c>
      <c r="AA100">
        <v>15</v>
      </c>
      <c r="AB100">
        <v>0</v>
      </c>
      <c r="AC100">
        <v>0</v>
      </c>
      <c r="AD100">
        <v>0</v>
      </c>
      <c r="AE100">
        <v>0</v>
      </c>
      <c r="AG100">
        <v>30</v>
      </c>
      <c r="AH100">
        <v>0</v>
      </c>
      <c r="AI100">
        <v>22.5</v>
      </c>
      <c r="AJ100">
        <v>22.5</v>
      </c>
    </row>
    <row r="101" spans="1:36" x14ac:dyDescent="0.25">
      <c r="A101" t="s">
        <v>165</v>
      </c>
      <c r="B101" t="s">
        <v>16</v>
      </c>
      <c r="C101">
        <v>2490932</v>
      </c>
      <c r="D101" t="s">
        <v>32</v>
      </c>
      <c r="E101" t="s">
        <v>166</v>
      </c>
      <c r="F101" t="s">
        <v>167</v>
      </c>
      <c r="G101">
        <v>7886002061</v>
      </c>
      <c r="H101" t="s">
        <v>177</v>
      </c>
      <c r="I101" t="s">
        <v>18</v>
      </c>
      <c r="J101" t="s">
        <v>169</v>
      </c>
      <c r="K101" t="s">
        <v>33</v>
      </c>
      <c r="L101" t="s">
        <v>182</v>
      </c>
      <c r="M101" t="s">
        <v>171</v>
      </c>
      <c r="N101" t="s">
        <v>172</v>
      </c>
      <c r="O101" t="s">
        <v>173</v>
      </c>
      <c r="P101">
        <v>0</v>
      </c>
      <c r="Q101" t="s">
        <v>174</v>
      </c>
      <c r="R101">
        <v>1</v>
      </c>
      <c r="S101">
        <v>1</v>
      </c>
      <c r="T101">
        <v>0</v>
      </c>
      <c r="U101">
        <v>0</v>
      </c>
      <c r="V101">
        <v>1</v>
      </c>
      <c r="W101">
        <v>0</v>
      </c>
      <c r="Z101">
        <v>15</v>
      </c>
      <c r="AA101">
        <v>15</v>
      </c>
      <c r="AB101">
        <v>0</v>
      </c>
      <c r="AC101">
        <v>0</v>
      </c>
      <c r="AD101">
        <v>0</v>
      </c>
      <c r="AE101">
        <v>0</v>
      </c>
      <c r="AG101">
        <v>30</v>
      </c>
      <c r="AH101">
        <v>0</v>
      </c>
      <c r="AI101">
        <v>15</v>
      </c>
      <c r="AJ101">
        <v>15</v>
      </c>
    </row>
    <row r="102" spans="1:36" x14ac:dyDescent="0.25">
      <c r="A102" t="s">
        <v>165</v>
      </c>
      <c r="B102" t="s">
        <v>16</v>
      </c>
      <c r="C102">
        <v>2490932</v>
      </c>
      <c r="D102" t="s">
        <v>32</v>
      </c>
      <c r="E102" t="s">
        <v>166</v>
      </c>
      <c r="F102" t="s">
        <v>167</v>
      </c>
      <c r="G102">
        <v>7886002661</v>
      </c>
      <c r="H102" t="s">
        <v>177</v>
      </c>
      <c r="I102" t="s">
        <v>18</v>
      </c>
      <c r="J102" t="s">
        <v>169</v>
      </c>
      <c r="K102" t="s">
        <v>34</v>
      </c>
      <c r="L102" t="s">
        <v>182</v>
      </c>
      <c r="M102" t="s">
        <v>171</v>
      </c>
      <c r="N102" t="s">
        <v>172</v>
      </c>
      <c r="O102" t="s">
        <v>175</v>
      </c>
      <c r="P102">
        <v>0</v>
      </c>
      <c r="Q102" t="s">
        <v>174</v>
      </c>
      <c r="R102">
        <v>1</v>
      </c>
      <c r="S102">
        <v>1</v>
      </c>
      <c r="T102">
        <v>0</v>
      </c>
      <c r="U102">
        <v>0</v>
      </c>
      <c r="V102">
        <v>1</v>
      </c>
      <c r="W102">
        <v>0</v>
      </c>
      <c r="Z102">
        <v>15</v>
      </c>
      <c r="AA102">
        <v>15</v>
      </c>
      <c r="AB102">
        <v>0</v>
      </c>
      <c r="AC102">
        <v>0</v>
      </c>
      <c r="AD102">
        <v>0</v>
      </c>
      <c r="AE102">
        <v>0</v>
      </c>
      <c r="AG102">
        <v>30</v>
      </c>
      <c r="AH102">
        <v>0</v>
      </c>
      <c r="AI102">
        <v>15</v>
      </c>
      <c r="AJ102">
        <v>15</v>
      </c>
    </row>
    <row r="103" spans="1:36" x14ac:dyDescent="0.25">
      <c r="A103" t="s">
        <v>165</v>
      </c>
      <c r="B103" t="s">
        <v>16</v>
      </c>
      <c r="C103">
        <v>9203497</v>
      </c>
      <c r="D103" t="s">
        <v>41</v>
      </c>
      <c r="E103" t="s">
        <v>166</v>
      </c>
      <c r="F103" t="s">
        <v>167</v>
      </c>
      <c r="G103">
        <v>7886002470</v>
      </c>
      <c r="H103" t="s">
        <v>177</v>
      </c>
      <c r="I103" t="s">
        <v>18</v>
      </c>
      <c r="J103" t="s">
        <v>169</v>
      </c>
      <c r="K103" t="s">
        <v>42</v>
      </c>
      <c r="L103" t="s">
        <v>178</v>
      </c>
      <c r="M103" t="s">
        <v>183</v>
      </c>
      <c r="N103" t="s">
        <v>172</v>
      </c>
      <c r="O103" t="s">
        <v>175</v>
      </c>
      <c r="P103">
        <v>0</v>
      </c>
      <c r="Q103" t="s">
        <v>174</v>
      </c>
      <c r="R103">
        <v>1</v>
      </c>
      <c r="S103">
        <v>1</v>
      </c>
      <c r="T103">
        <v>0</v>
      </c>
      <c r="U103">
        <v>0</v>
      </c>
      <c r="V103">
        <v>1</v>
      </c>
      <c r="W103">
        <v>0</v>
      </c>
      <c r="Z103">
        <v>15</v>
      </c>
      <c r="AA103">
        <v>15</v>
      </c>
      <c r="AB103">
        <v>0</v>
      </c>
      <c r="AC103">
        <v>0</v>
      </c>
      <c r="AD103">
        <v>0</v>
      </c>
      <c r="AE103">
        <v>0</v>
      </c>
      <c r="AG103">
        <v>30</v>
      </c>
      <c r="AH103">
        <v>0</v>
      </c>
      <c r="AI103">
        <v>15</v>
      </c>
      <c r="AJ103">
        <v>15</v>
      </c>
    </row>
    <row r="104" spans="1:36" x14ac:dyDescent="0.25">
      <c r="A104" t="s">
        <v>165</v>
      </c>
      <c r="B104" t="s">
        <v>16</v>
      </c>
      <c r="C104">
        <v>9203507</v>
      </c>
      <c r="D104" t="s">
        <v>60</v>
      </c>
      <c r="E104" t="s">
        <v>166</v>
      </c>
      <c r="F104" t="s">
        <v>184</v>
      </c>
      <c r="G104">
        <v>7886000680</v>
      </c>
      <c r="H104" t="s">
        <v>177</v>
      </c>
      <c r="I104" t="s">
        <v>18</v>
      </c>
      <c r="J104" t="s">
        <v>185</v>
      </c>
      <c r="K104" t="s">
        <v>61</v>
      </c>
      <c r="L104" t="s">
        <v>182</v>
      </c>
      <c r="M104" t="s">
        <v>171</v>
      </c>
      <c r="N104" t="s">
        <v>172</v>
      </c>
      <c r="O104" t="s">
        <v>175</v>
      </c>
      <c r="P104">
        <v>0</v>
      </c>
      <c r="Q104" t="s">
        <v>174</v>
      </c>
      <c r="R104">
        <v>1</v>
      </c>
      <c r="S104">
        <v>1</v>
      </c>
      <c r="T104">
        <v>0</v>
      </c>
      <c r="U104">
        <v>0</v>
      </c>
      <c r="V104">
        <v>1</v>
      </c>
      <c r="W104">
        <v>0</v>
      </c>
      <c r="Z104">
        <v>15</v>
      </c>
      <c r="AA104">
        <v>15</v>
      </c>
      <c r="AB104">
        <v>0</v>
      </c>
      <c r="AC104">
        <v>0</v>
      </c>
      <c r="AD104">
        <v>0</v>
      </c>
      <c r="AE104">
        <v>0</v>
      </c>
      <c r="AG104">
        <v>30</v>
      </c>
      <c r="AH104">
        <v>0</v>
      </c>
      <c r="AI104">
        <v>15</v>
      </c>
      <c r="AJ104">
        <v>15</v>
      </c>
    </row>
    <row r="105" spans="1:36" x14ac:dyDescent="0.25">
      <c r="A105" t="s">
        <v>165</v>
      </c>
      <c r="B105" t="s">
        <v>16</v>
      </c>
      <c r="C105">
        <v>2226596</v>
      </c>
      <c r="D105" t="s">
        <v>63</v>
      </c>
      <c r="E105" t="s">
        <v>166</v>
      </c>
      <c r="F105" t="s">
        <v>184</v>
      </c>
      <c r="G105">
        <v>7886002401</v>
      </c>
      <c r="H105" t="s">
        <v>177</v>
      </c>
      <c r="I105" t="s">
        <v>18</v>
      </c>
      <c r="J105" t="s">
        <v>185</v>
      </c>
      <c r="K105" t="s">
        <v>64</v>
      </c>
      <c r="L105" t="s">
        <v>178</v>
      </c>
      <c r="M105" t="s">
        <v>171</v>
      </c>
      <c r="N105" t="s">
        <v>172</v>
      </c>
      <c r="O105" t="s">
        <v>173</v>
      </c>
      <c r="P105">
        <v>0</v>
      </c>
      <c r="Q105" t="s">
        <v>174</v>
      </c>
      <c r="R105">
        <v>1</v>
      </c>
      <c r="S105">
        <v>1</v>
      </c>
      <c r="T105">
        <v>0</v>
      </c>
      <c r="U105">
        <v>0</v>
      </c>
      <c r="V105">
        <v>1</v>
      </c>
      <c r="W105">
        <v>0</v>
      </c>
      <c r="Z105">
        <v>15</v>
      </c>
      <c r="AA105">
        <v>15</v>
      </c>
      <c r="AB105">
        <v>0</v>
      </c>
      <c r="AC105">
        <v>0</v>
      </c>
      <c r="AD105">
        <v>0</v>
      </c>
      <c r="AE105">
        <v>0</v>
      </c>
      <c r="AG105">
        <v>30</v>
      </c>
      <c r="AH105">
        <v>0</v>
      </c>
      <c r="AI105">
        <v>15</v>
      </c>
      <c r="AJ105">
        <v>15</v>
      </c>
    </row>
    <row r="106" spans="1:36" x14ac:dyDescent="0.25">
      <c r="A106" t="s">
        <v>165</v>
      </c>
      <c r="B106" t="s">
        <v>16</v>
      </c>
      <c r="C106">
        <v>2490932</v>
      </c>
      <c r="D106" t="s">
        <v>32</v>
      </c>
      <c r="E106" t="s">
        <v>166</v>
      </c>
      <c r="F106" t="s">
        <v>167</v>
      </c>
      <c r="G106">
        <v>7886002660</v>
      </c>
      <c r="H106" t="s">
        <v>177</v>
      </c>
      <c r="I106" t="s">
        <v>18</v>
      </c>
      <c r="J106" t="s">
        <v>169</v>
      </c>
      <c r="K106" t="s">
        <v>34</v>
      </c>
      <c r="L106" t="s">
        <v>182</v>
      </c>
      <c r="M106" t="s">
        <v>171</v>
      </c>
      <c r="N106" t="s">
        <v>172</v>
      </c>
      <c r="O106" t="s">
        <v>173</v>
      </c>
      <c r="P106">
        <v>0</v>
      </c>
      <c r="Q106" t="s">
        <v>174</v>
      </c>
      <c r="R106">
        <v>1</v>
      </c>
      <c r="S106">
        <v>1</v>
      </c>
      <c r="T106">
        <v>0</v>
      </c>
      <c r="U106">
        <v>0</v>
      </c>
      <c r="V106">
        <v>1</v>
      </c>
      <c r="W106">
        <v>0</v>
      </c>
      <c r="Z106">
        <v>15</v>
      </c>
      <c r="AA106">
        <v>15</v>
      </c>
      <c r="AB106">
        <v>0</v>
      </c>
      <c r="AC106">
        <v>0</v>
      </c>
      <c r="AD106">
        <v>0</v>
      </c>
      <c r="AE106">
        <v>0</v>
      </c>
      <c r="AG106">
        <v>30</v>
      </c>
      <c r="AH106">
        <v>0</v>
      </c>
      <c r="AI106">
        <v>15</v>
      </c>
      <c r="AJ106">
        <v>15</v>
      </c>
    </row>
    <row r="107" spans="1:36" x14ac:dyDescent="0.25">
      <c r="A107" t="s">
        <v>165</v>
      </c>
      <c r="B107" t="s">
        <v>16</v>
      </c>
      <c r="C107">
        <v>5797728</v>
      </c>
      <c r="D107" t="s">
        <v>39</v>
      </c>
      <c r="E107" t="s">
        <v>166</v>
      </c>
      <c r="F107" t="s">
        <v>167</v>
      </c>
      <c r="G107">
        <v>7886002489</v>
      </c>
      <c r="H107" t="s">
        <v>177</v>
      </c>
      <c r="I107" t="s">
        <v>18</v>
      </c>
      <c r="J107" t="s">
        <v>169</v>
      </c>
      <c r="K107" t="s">
        <v>82</v>
      </c>
      <c r="L107" t="s">
        <v>178</v>
      </c>
      <c r="M107" t="s">
        <v>171</v>
      </c>
      <c r="N107" t="s">
        <v>172</v>
      </c>
      <c r="O107" t="s">
        <v>176</v>
      </c>
      <c r="P107">
        <v>0</v>
      </c>
      <c r="Q107" t="s">
        <v>174</v>
      </c>
      <c r="R107">
        <v>1</v>
      </c>
      <c r="S107">
        <v>1</v>
      </c>
      <c r="T107">
        <v>0</v>
      </c>
      <c r="U107">
        <v>0</v>
      </c>
      <c r="V107">
        <v>1</v>
      </c>
      <c r="W107">
        <v>0</v>
      </c>
      <c r="Z107">
        <v>15</v>
      </c>
      <c r="AA107">
        <v>15</v>
      </c>
      <c r="AB107">
        <v>0</v>
      </c>
      <c r="AC107">
        <v>0</v>
      </c>
      <c r="AD107">
        <v>0</v>
      </c>
      <c r="AE107">
        <v>0</v>
      </c>
      <c r="AG107">
        <v>30</v>
      </c>
      <c r="AH107">
        <v>0</v>
      </c>
      <c r="AI107">
        <v>15</v>
      </c>
      <c r="AJ107">
        <v>15</v>
      </c>
    </row>
    <row r="108" spans="1:36" x14ac:dyDescent="0.25">
      <c r="A108" t="s">
        <v>165</v>
      </c>
      <c r="B108" t="s">
        <v>16</v>
      </c>
      <c r="C108">
        <v>5997121</v>
      </c>
      <c r="D108" t="s">
        <v>90</v>
      </c>
      <c r="E108" t="s">
        <v>166</v>
      </c>
      <c r="F108" t="s">
        <v>167</v>
      </c>
      <c r="G108">
        <v>7886002616</v>
      </c>
      <c r="H108" t="s">
        <v>177</v>
      </c>
      <c r="I108" t="s">
        <v>18</v>
      </c>
      <c r="J108" t="s">
        <v>169</v>
      </c>
      <c r="K108" t="s">
        <v>34</v>
      </c>
      <c r="L108" t="s">
        <v>182</v>
      </c>
      <c r="M108" t="s">
        <v>171</v>
      </c>
      <c r="N108" t="s">
        <v>172</v>
      </c>
      <c r="O108" t="s">
        <v>176</v>
      </c>
      <c r="P108">
        <v>2</v>
      </c>
      <c r="Q108" t="s">
        <v>174</v>
      </c>
      <c r="R108">
        <v>1</v>
      </c>
      <c r="S108">
        <v>1</v>
      </c>
      <c r="T108">
        <v>0</v>
      </c>
      <c r="U108">
        <v>0</v>
      </c>
      <c r="V108">
        <v>1</v>
      </c>
      <c r="W108">
        <v>0</v>
      </c>
      <c r="Z108">
        <v>15</v>
      </c>
      <c r="AA108">
        <v>15</v>
      </c>
      <c r="AB108">
        <v>0</v>
      </c>
      <c r="AC108">
        <v>0</v>
      </c>
      <c r="AD108">
        <v>0</v>
      </c>
      <c r="AE108">
        <v>0</v>
      </c>
      <c r="AG108">
        <v>30</v>
      </c>
      <c r="AH108">
        <v>0</v>
      </c>
      <c r="AI108">
        <v>15</v>
      </c>
      <c r="AJ108">
        <v>15</v>
      </c>
    </row>
    <row r="109" spans="1:36" x14ac:dyDescent="0.25">
      <c r="A109" t="s">
        <v>165</v>
      </c>
      <c r="B109" t="s">
        <v>16</v>
      </c>
      <c r="C109">
        <v>8351903</v>
      </c>
      <c r="D109" t="s">
        <v>45</v>
      </c>
      <c r="E109" t="s">
        <v>166</v>
      </c>
      <c r="F109" t="s">
        <v>167</v>
      </c>
      <c r="G109">
        <v>7886000751</v>
      </c>
      <c r="H109" t="s">
        <v>177</v>
      </c>
      <c r="I109" t="s">
        <v>75</v>
      </c>
      <c r="J109" t="s">
        <v>169</v>
      </c>
      <c r="K109" t="s">
        <v>91</v>
      </c>
      <c r="L109" t="s">
        <v>170</v>
      </c>
      <c r="M109" t="s">
        <v>171</v>
      </c>
      <c r="N109" t="s">
        <v>172</v>
      </c>
      <c r="O109" t="s">
        <v>176</v>
      </c>
      <c r="P109">
        <v>0</v>
      </c>
      <c r="Q109" t="s">
        <v>174</v>
      </c>
      <c r="R109">
        <v>1</v>
      </c>
      <c r="S109">
        <v>1</v>
      </c>
      <c r="T109">
        <v>0</v>
      </c>
      <c r="U109">
        <v>0</v>
      </c>
      <c r="V109">
        <v>1</v>
      </c>
      <c r="W109">
        <v>0</v>
      </c>
      <c r="Z109">
        <v>15</v>
      </c>
      <c r="AA109">
        <v>15</v>
      </c>
      <c r="AB109">
        <v>0</v>
      </c>
      <c r="AC109">
        <v>0</v>
      </c>
      <c r="AD109">
        <v>0</v>
      </c>
      <c r="AE109">
        <v>0</v>
      </c>
      <c r="AG109">
        <v>30</v>
      </c>
      <c r="AH109">
        <v>0</v>
      </c>
      <c r="AI109">
        <v>15</v>
      </c>
      <c r="AJ109">
        <v>15</v>
      </c>
    </row>
    <row r="110" spans="1:36" x14ac:dyDescent="0.25">
      <c r="A110" t="s">
        <v>165</v>
      </c>
      <c r="B110" t="s">
        <v>16</v>
      </c>
      <c r="C110">
        <v>9203497</v>
      </c>
      <c r="D110" t="s">
        <v>41</v>
      </c>
      <c r="E110" t="s">
        <v>166</v>
      </c>
      <c r="F110" t="s">
        <v>167</v>
      </c>
      <c r="G110">
        <v>7886002273</v>
      </c>
      <c r="H110" t="s">
        <v>177</v>
      </c>
      <c r="I110" t="s">
        <v>18</v>
      </c>
      <c r="J110" t="s">
        <v>169</v>
      </c>
      <c r="K110" t="s">
        <v>99</v>
      </c>
      <c r="L110" t="s">
        <v>178</v>
      </c>
      <c r="M110" t="s">
        <v>183</v>
      </c>
      <c r="N110" t="s">
        <v>172</v>
      </c>
      <c r="O110" t="s">
        <v>173</v>
      </c>
      <c r="P110">
        <v>0</v>
      </c>
      <c r="Q110" t="s">
        <v>174</v>
      </c>
      <c r="R110">
        <v>1</v>
      </c>
      <c r="S110">
        <v>1</v>
      </c>
      <c r="T110">
        <v>0</v>
      </c>
      <c r="U110">
        <v>0</v>
      </c>
      <c r="V110">
        <v>1</v>
      </c>
      <c r="W110">
        <v>0</v>
      </c>
      <c r="Z110">
        <v>15</v>
      </c>
      <c r="AA110">
        <v>15</v>
      </c>
      <c r="AB110">
        <v>0</v>
      </c>
      <c r="AC110">
        <v>0</v>
      </c>
      <c r="AD110">
        <v>0</v>
      </c>
      <c r="AE110">
        <v>0</v>
      </c>
      <c r="AG110">
        <v>30</v>
      </c>
      <c r="AH110">
        <v>0</v>
      </c>
      <c r="AI110">
        <v>15</v>
      </c>
      <c r="AJ110">
        <v>15</v>
      </c>
    </row>
    <row r="111" spans="1:36" x14ac:dyDescent="0.25">
      <c r="A111" t="s">
        <v>165</v>
      </c>
      <c r="B111" t="s">
        <v>16</v>
      </c>
      <c r="C111">
        <v>9203497</v>
      </c>
      <c r="D111" t="s">
        <v>41</v>
      </c>
      <c r="E111" t="s">
        <v>166</v>
      </c>
      <c r="F111" t="s">
        <v>167</v>
      </c>
      <c r="G111">
        <v>7886002452</v>
      </c>
      <c r="H111" t="s">
        <v>177</v>
      </c>
      <c r="I111" t="s">
        <v>18</v>
      </c>
      <c r="J111" t="s">
        <v>169</v>
      </c>
      <c r="K111" t="s">
        <v>34</v>
      </c>
      <c r="L111" t="s">
        <v>182</v>
      </c>
      <c r="M111" t="s">
        <v>183</v>
      </c>
      <c r="N111" t="s">
        <v>172</v>
      </c>
      <c r="O111" t="s">
        <v>175</v>
      </c>
      <c r="P111">
        <v>0</v>
      </c>
      <c r="Q111" t="s">
        <v>174</v>
      </c>
      <c r="R111">
        <v>1</v>
      </c>
      <c r="S111">
        <v>1</v>
      </c>
      <c r="T111">
        <v>0</v>
      </c>
      <c r="U111">
        <v>0</v>
      </c>
      <c r="V111">
        <v>1</v>
      </c>
      <c r="W111">
        <v>0</v>
      </c>
      <c r="Z111">
        <v>15</v>
      </c>
      <c r="AA111">
        <v>15</v>
      </c>
      <c r="AB111">
        <v>0</v>
      </c>
      <c r="AC111">
        <v>0</v>
      </c>
      <c r="AD111">
        <v>0</v>
      </c>
      <c r="AE111">
        <v>0</v>
      </c>
      <c r="AG111">
        <v>30</v>
      </c>
      <c r="AH111">
        <v>0</v>
      </c>
      <c r="AI111">
        <v>15</v>
      </c>
      <c r="AJ111">
        <v>15</v>
      </c>
    </row>
    <row r="112" spans="1:36" x14ac:dyDescent="0.25">
      <c r="A112" t="s">
        <v>165</v>
      </c>
      <c r="B112" t="s">
        <v>16</v>
      </c>
      <c r="C112">
        <v>9203499</v>
      </c>
      <c r="D112" t="s">
        <v>28</v>
      </c>
      <c r="E112" t="s">
        <v>166</v>
      </c>
      <c r="F112" t="s">
        <v>167</v>
      </c>
      <c r="G112">
        <v>7886002681</v>
      </c>
      <c r="H112" t="s">
        <v>177</v>
      </c>
      <c r="I112" t="s">
        <v>18</v>
      </c>
      <c r="J112" t="s">
        <v>169</v>
      </c>
      <c r="K112" t="s">
        <v>34</v>
      </c>
      <c r="L112" t="s">
        <v>182</v>
      </c>
      <c r="M112" t="s">
        <v>183</v>
      </c>
      <c r="N112" t="s">
        <v>172</v>
      </c>
      <c r="O112" t="s">
        <v>176</v>
      </c>
      <c r="P112">
        <v>6</v>
      </c>
      <c r="Q112" t="s">
        <v>174</v>
      </c>
      <c r="R112">
        <v>1</v>
      </c>
      <c r="S112">
        <v>1</v>
      </c>
      <c r="T112">
        <v>0</v>
      </c>
      <c r="U112">
        <v>0</v>
      </c>
      <c r="V112">
        <v>1</v>
      </c>
      <c r="W112">
        <v>0</v>
      </c>
      <c r="Z112">
        <v>15</v>
      </c>
      <c r="AA112">
        <v>15</v>
      </c>
      <c r="AB112">
        <v>0</v>
      </c>
      <c r="AC112">
        <v>0</v>
      </c>
      <c r="AD112">
        <v>0</v>
      </c>
      <c r="AE112">
        <v>0</v>
      </c>
      <c r="AG112">
        <v>30</v>
      </c>
      <c r="AH112">
        <v>0</v>
      </c>
      <c r="AI112">
        <v>15</v>
      </c>
      <c r="AJ112">
        <v>15</v>
      </c>
    </row>
    <row r="113" spans="1:36" x14ac:dyDescent="0.25">
      <c r="A113" t="s">
        <v>165</v>
      </c>
      <c r="B113" t="s">
        <v>16</v>
      </c>
      <c r="C113">
        <v>9372701</v>
      </c>
      <c r="D113" t="s">
        <v>53</v>
      </c>
      <c r="E113" t="s">
        <v>166</v>
      </c>
      <c r="F113" t="s">
        <v>167</v>
      </c>
      <c r="G113">
        <v>7886000378</v>
      </c>
      <c r="H113" t="s">
        <v>177</v>
      </c>
      <c r="I113" t="s">
        <v>24</v>
      </c>
      <c r="J113" t="s">
        <v>169</v>
      </c>
      <c r="K113" t="s">
        <v>105</v>
      </c>
      <c r="L113" t="s">
        <v>170</v>
      </c>
      <c r="M113" t="s">
        <v>179</v>
      </c>
      <c r="N113" t="s">
        <v>180</v>
      </c>
      <c r="O113" t="s">
        <v>176</v>
      </c>
      <c r="P113">
        <v>6</v>
      </c>
      <c r="Q113" t="s">
        <v>181</v>
      </c>
      <c r="R113">
        <v>1</v>
      </c>
      <c r="S113">
        <v>1</v>
      </c>
      <c r="T113">
        <v>0</v>
      </c>
      <c r="U113">
        <v>0</v>
      </c>
      <c r="V113">
        <v>0.059734513274336286</v>
      </c>
      <c r="W113">
        <v>0</v>
      </c>
      <c r="Z113">
        <v>15</v>
      </c>
      <c r="AA113">
        <v>15</v>
      </c>
      <c r="AB113">
        <v>0</v>
      </c>
      <c r="AC113">
        <v>0</v>
      </c>
      <c r="AD113">
        <v>0</v>
      </c>
      <c r="AE113">
        <v>0</v>
      </c>
      <c r="AG113">
        <v>30</v>
      </c>
      <c r="AH113">
        <v>0</v>
      </c>
      <c r="AI113">
        <v>15</v>
      </c>
      <c r="AJ113">
        <v>15</v>
      </c>
    </row>
    <row r="114" spans="1:36" x14ac:dyDescent="0.25">
      <c r="A114" t="s">
        <v>165</v>
      </c>
      <c r="B114" t="s">
        <v>16</v>
      </c>
      <c r="C114">
        <v>9372701</v>
      </c>
      <c r="D114" t="s">
        <v>53</v>
      </c>
      <c r="E114" t="s">
        <v>166</v>
      </c>
      <c r="F114" t="s">
        <v>167</v>
      </c>
      <c r="G114">
        <v>7886000657</v>
      </c>
      <c r="H114" t="s">
        <v>177</v>
      </c>
      <c r="I114" t="s">
        <v>24</v>
      </c>
      <c r="J114" t="s">
        <v>169</v>
      </c>
      <c r="K114" t="s">
        <v>106</v>
      </c>
      <c r="L114" t="s">
        <v>178</v>
      </c>
      <c r="M114" t="s">
        <v>179</v>
      </c>
      <c r="N114" t="s">
        <v>180</v>
      </c>
      <c r="O114" t="s">
        <v>173</v>
      </c>
      <c r="P114">
        <v>0</v>
      </c>
      <c r="Q114" t="s">
        <v>181</v>
      </c>
      <c r="R114">
        <v>1</v>
      </c>
      <c r="S114">
        <v>1</v>
      </c>
      <c r="T114">
        <v>0</v>
      </c>
      <c r="U114">
        <v>0</v>
      </c>
      <c r="V114">
        <v>1</v>
      </c>
      <c r="W114">
        <v>0</v>
      </c>
      <c r="Z114">
        <v>15</v>
      </c>
      <c r="AA114">
        <v>15</v>
      </c>
      <c r="AB114">
        <v>0</v>
      </c>
      <c r="AC114">
        <v>0</v>
      </c>
      <c r="AD114">
        <v>0</v>
      </c>
      <c r="AE114">
        <v>0</v>
      </c>
      <c r="AG114">
        <v>30</v>
      </c>
      <c r="AH114">
        <v>0</v>
      </c>
      <c r="AI114">
        <v>15</v>
      </c>
      <c r="AJ114">
        <v>15</v>
      </c>
    </row>
    <row r="115" spans="1:36" x14ac:dyDescent="0.25">
      <c r="A115" t="s">
        <v>165</v>
      </c>
      <c r="B115" t="s">
        <v>16</v>
      </c>
      <c r="C115">
        <v>2451952</v>
      </c>
      <c r="D115" t="s">
        <v>111</v>
      </c>
      <c r="E115" t="s">
        <v>166</v>
      </c>
      <c r="F115" t="s">
        <v>167</v>
      </c>
      <c r="G115">
        <v>7886002310</v>
      </c>
      <c r="H115" t="s">
        <v>177</v>
      </c>
      <c r="I115" t="s">
        <v>18</v>
      </c>
      <c r="J115" t="s">
        <v>169</v>
      </c>
      <c r="K115" t="s">
        <v>112</v>
      </c>
      <c r="L115" t="s">
        <v>178</v>
      </c>
      <c r="M115" t="s">
        <v>171</v>
      </c>
      <c r="N115" t="s">
        <v>172</v>
      </c>
      <c r="O115" t="s">
        <v>175</v>
      </c>
      <c r="P115">
        <v>0</v>
      </c>
      <c r="Q115" t="s">
        <v>174</v>
      </c>
      <c r="R115">
        <v>1</v>
      </c>
      <c r="S115">
        <v>1</v>
      </c>
      <c r="T115">
        <v>0</v>
      </c>
      <c r="U115">
        <v>0</v>
      </c>
      <c r="V115">
        <v>1</v>
      </c>
      <c r="W115">
        <v>0</v>
      </c>
      <c r="Z115">
        <v>15</v>
      </c>
      <c r="AA115">
        <v>15</v>
      </c>
      <c r="AB115">
        <v>0</v>
      </c>
      <c r="AC115">
        <v>0</v>
      </c>
      <c r="AD115">
        <v>0</v>
      </c>
      <c r="AE115">
        <v>0</v>
      </c>
      <c r="AG115">
        <v>30</v>
      </c>
      <c r="AH115">
        <v>0</v>
      </c>
      <c r="AI115">
        <v>15</v>
      </c>
      <c r="AJ115">
        <v>15</v>
      </c>
    </row>
    <row r="116" spans="1:36" x14ac:dyDescent="0.25">
      <c r="A116" t="s">
        <v>165</v>
      </c>
      <c r="B116" t="s">
        <v>16</v>
      </c>
      <c r="C116">
        <v>4970875</v>
      </c>
      <c r="D116" t="s">
        <v>36</v>
      </c>
      <c r="E116" t="s">
        <v>166</v>
      </c>
      <c r="F116" t="s">
        <v>167</v>
      </c>
      <c r="G116">
        <v>7886002677</v>
      </c>
      <c r="H116" t="s">
        <v>177</v>
      </c>
      <c r="I116" t="s">
        <v>18</v>
      </c>
      <c r="J116" t="s">
        <v>169</v>
      </c>
      <c r="K116" t="s">
        <v>116</v>
      </c>
      <c r="L116" t="s">
        <v>170</v>
      </c>
      <c r="M116" t="s">
        <v>171</v>
      </c>
      <c r="N116" t="s">
        <v>172</v>
      </c>
      <c r="O116" t="s">
        <v>176</v>
      </c>
      <c r="P116">
        <v>0</v>
      </c>
      <c r="Q116" t="s">
        <v>174</v>
      </c>
      <c r="R116">
        <v>1</v>
      </c>
      <c r="S116">
        <v>1</v>
      </c>
      <c r="T116">
        <v>0</v>
      </c>
      <c r="U116">
        <v>0</v>
      </c>
      <c r="V116">
        <v>1</v>
      </c>
      <c r="W116">
        <v>0</v>
      </c>
      <c r="Z116">
        <v>15</v>
      </c>
      <c r="AA116">
        <v>15</v>
      </c>
      <c r="AB116">
        <v>0</v>
      </c>
      <c r="AC116">
        <v>0</v>
      </c>
      <c r="AD116">
        <v>0</v>
      </c>
      <c r="AE116">
        <v>0</v>
      </c>
      <c r="AG116">
        <v>30</v>
      </c>
      <c r="AH116">
        <v>0</v>
      </c>
      <c r="AI116">
        <v>15</v>
      </c>
      <c r="AJ116">
        <v>15</v>
      </c>
    </row>
    <row r="117" spans="1:36" x14ac:dyDescent="0.25">
      <c r="A117" t="s">
        <v>165</v>
      </c>
      <c r="B117" t="s">
        <v>16</v>
      </c>
      <c r="C117">
        <v>2226596</v>
      </c>
      <c r="D117" t="s">
        <v>63</v>
      </c>
      <c r="E117" t="s">
        <v>166</v>
      </c>
      <c r="F117" t="s">
        <v>184</v>
      </c>
      <c r="G117">
        <v>7886001633</v>
      </c>
      <c r="H117" t="s">
        <v>177</v>
      </c>
      <c r="I117" t="s">
        <v>18</v>
      </c>
      <c r="J117" t="s">
        <v>185</v>
      </c>
      <c r="K117" t="s">
        <v>118</v>
      </c>
      <c r="L117" t="s">
        <v>178</v>
      </c>
      <c r="M117" t="s">
        <v>171</v>
      </c>
      <c r="N117" t="s">
        <v>172</v>
      </c>
      <c r="O117" t="s">
        <v>176</v>
      </c>
      <c r="P117">
        <v>0</v>
      </c>
      <c r="Q117" t="s">
        <v>174</v>
      </c>
      <c r="R117">
        <v>1</v>
      </c>
      <c r="S117">
        <v>1</v>
      </c>
      <c r="T117">
        <v>0</v>
      </c>
      <c r="U117">
        <v>0</v>
      </c>
      <c r="V117">
        <v>1</v>
      </c>
      <c r="W117">
        <v>0</v>
      </c>
      <c r="Z117">
        <v>15</v>
      </c>
      <c r="AA117">
        <v>15</v>
      </c>
      <c r="AB117">
        <v>0</v>
      </c>
      <c r="AC117">
        <v>0</v>
      </c>
      <c r="AD117">
        <v>0</v>
      </c>
      <c r="AE117">
        <v>0</v>
      </c>
      <c r="AG117">
        <v>30</v>
      </c>
      <c r="AH117">
        <v>0</v>
      </c>
      <c r="AI117">
        <v>15</v>
      </c>
      <c r="AJ117">
        <v>15</v>
      </c>
    </row>
    <row r="118" spans="1:36" x14ac:dyDescent="0.25">
      <c r="A118" t="s">
        <v>165</v>
      </c>
      <c r="B118" t="s">
        <v>16</v>
      </c>
      <c r="C118">
        <v>5797728</v>
      </c>
      <c r="D118" t="s">
        <v>39</v>
      </c>
      <c r="E118" t="s">
        <v>166</v>
      </c>
      <c r="F118" t="s">
        <v>167</v>
      </c>
      <c r="G118">
        <v>7886002486</v>
      </c>
      <c r="H118" t="s">
        <v>177</v>
      </c>
      <c r="I118" t="s">
        <v>75</v>
      </c>
      <c r="J118" t="s">
        <v>169</v>
      </c>
      <c r="K118" t="s">
        <v>120</v>
      </c>
      <c r="L118" t="s">
        <v>170</v>
      </c>
      <c r="M118" t="s">
        <v>171</v>
      </c>
      <c r="N118" t="s">
        <v>172</v>
      </c>
      <c r="O118" t="s">
        <v>176</v>
      </c>
      <c r="P118">
        <v>8</v>
      </c>
      <c r="Q118" t="s">
        <v>174</v>
      </c>
      <c r="R118">
        <v>1</v>
      </c>
      <c r="S118">
        <v>1</v>
      </c>
      <c r="T118">
        <v>-100</v>
      </c>
      <c r="U118">
        <v>0</v>
      </c>
      <c r="V118">
        <v>1</v>
      </c>
      <c r="W118">
        <v>0</v>
      </c>
      <c r="Z118">
        <v>15</v>
      </c>
      <c r="AA118">
        <v>15</v>
      </c>
      <c r="AB118">
        <v>0</v>
      </c>
      <c r="AC118">
        <v>0</v>
      </c>
      <c r="AD118">
        <v>0</v>
      </c>
      <c r="AE118">
        <v>0</v>
      </c>
      <c r="AG118">
        <v>30</v>
      </c>
      <c r="AH118">
        <v>0</v>
      </c>
      <c r="AI118">
        <v>15</v>
      </c>
      <c r="AJ118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3" customWidth="1"/>
    <col min="3" max="3" width="22" customWidth="1"/>
    <col min="4" max="4" width="12" customWidth="1"/>
    <col min="5" max="5" width="14" customWidth="1"/>
    <col min="6" max="6" width="22" customWidth="1"/>
    <col min="7" max="7" width="15" customWidth="1"/>
    <col min="8" max="8" width="27" customWidth="1"/>
    <col min="9" max="9" width="15" customWidth="1"/>
    <col min="10" max="10" width="28" customWidth="1"/>
    <col min="11" max="11" width="25" customWidth="1"/>
    <col min="12" max="12" width="12" customWidth="1"/>
  </cols>
  <sheetData>
    <row r="1" ht="28" customHeight="1" spans="1:12" x14ac:dyDescent="0.25">
      <c r="A1" s="1" t="s">
        <v>188</v>
      </c>
      <c r="B1" s="1" t="s">
        <v>189</v>
      </c>
      <c r="C1" s="1" t="s">
        <v>3</v>
      </c>
      <c r="D1" s="1" t="s">
        <v>190</v>
      </c>
      <c r="E1" s="1" t="s">
        <v>191</v>
      </c>
      <c r="F1" s="1" t="s">
        <v>146</v>
      </c>
      <c r="G1" s="1" t="s">
        <v>151</v>
      </c>
      <c r="H1" s="1" t="s">
        <v>192</v>
      </c>
      <c r="I1" s="1" t="s">
        <v>193</v>
      </c>
      <c r="J1" s="1" t="s">
        <v>194</v>
      </c>
      <c r="K1" s="1" t="s">
        <v>6</v>
      </c>
      <c r="L1" s="1" t="s">
        <v>195</v>
      </c>
    </row>
    <row r="2" spans="1:12" x14ac:dyDescent="0.25">
      <c r="A2" t="s">
        <v>196</v>
      </c>
      <c r="B2" t="s">
        <v>197</v>
      </c>
      <c r="C2" t="s">
        <v>67</v>
      </c>
      <c r="D2" t="s">
        <v>198</v>
      </c>
      <c r="E2" t="s">
        <v>18</v>
      </c>
      <c r="F2" t="s">
        <v>177</v>
      </c>
      <c r="G2" t="s">
        <v>173</v>
      </c>
      <c r="H2" t="s">
        <v>169</v>
      </c>
      <c r="I2" t="s">
        <v>183</v>
      </c>
      <c r="J2" t="s">
        <v>166</v>
      </c>
      <c r="K2" t="s">
        <v>68</v>
      </c>
      <c r="L2" t="s">
        <v>173</v>
      </c>
    </row>
    <row r="3" spans="1:12" x14ac:dyDescent="0.25">
      <c r="A3" s="2" t="s">
        <v>199</v>
      </c>
      <c r="B3" s="2" t="s">
        <v>200</v>
      </c>
      <c r="C3" s="2" t="s">
        <v>45</v>
      </c>
      <c r="D3" s="2" t="s">
        <v>201</v>
      </c>
      <c r="E3" s="2" t="s">
        <v>18</v>
      </c>
      <c r="F3" s="2" t="s">
        <v>168</v>
      </c>
      <c r="G3" s="2" t="s">
        <v>176</v>
      </c>
      <c r="H3" s="2" t="s">
        <v>169</v>
      </c>
      <c r="I3" s="2" t="s">
        <v>171</v>
      </c>
      <c r="J3" s="2" t="s">
        <v>166</v>
      </c>
      <c r="K3" s="2" t="s">
        <v>46</v>
      </c>
      <c r="L3" s="2" t="s">
        <v>202</v>
      </c>
    </row>
    <row r="4" spans="1:12" x14ac:dyDescent="0.25">
      <c r="A4" t="s">
        <v>203</v>
      </c>
      <c r="B4" t="s">
        <v>204</v>
      </c>
      <c r="C4" t="s">
        <v>53</v>
      </c>
      <c r="D4" t="s">
        <v>205</v>
      </c>
      <c r="E4" t="s">
        <v>24</v>
      </c>
      <c r="F4" t="s">
        <v>177</v>
      </c>
      <c r="G4" t="s">
        <v>176</v>
      </c>
      <c r="H4" t="s">
        <v>169</v>
      </c>
      <c r="I4" t="s">
        <v>179</v>
      </c>
      <c r="J4" t="s">
        <v>166</v>
      </c>
      <c r="K4" t="s">
        <v>105</v>
      </c>
      <c r="L4" t="s">
        <v>202</v>
      </c>
    </row>
    <row r="5" spans="1:12" x14ac:dyDescent="0.25">
      <c r="A5" s="2" t="s">
        <v>206</v>
      </c>
      <c r="B5" s="2" t="s">
        <v>207</v>
      </c>
      <c r="C5" s="2" t="s">
        <v>67</v>
      </c>
      <c r="D5" s="2" t="s">
        <v>198</v>
      </c>
      <c r="E5" s="2" t="s">
        <v>18</v>
      </c>
      <c r="F5" s="2" t="s">
        <v>177</v>
      </c>
      <c r="G5" s="2" t="s">
        <v>173</v>
      </c>
      <c r="H5" s="2" t="s">
        <v>169</v>
      </c>
      <c r="I5" s="2" t="s">
        <v>183</v>
      </c>
      <c r="J5" s="2" t="s">
        <v>166</v>
      </c>
      <c r="K5" s="2" t="s">
        <v>119</v>
      </c>
      <c r="L5" s="2" t="s">
        <v>173</v>
      </c>
    </row>
    <row r="6" spans="1:12" x14ac:dyDescent="0.25">
      <c r="A6" t="s">
        <v>208</v>
      </c>
      <c r="B6" t="s">
        <v>208</v>
      </c>
      <c r="C6" t="s">
        <v>67</v>
      </c>
      <c r="D6" t="s">
        <v>198</v>
      </c>
      <c r="E6" t="s">
        <v>18</v>
      </c>
      <c r="F6" t="s">
        <v>177</v>
      </c>
      <c r="G6" t="s">
        <v>173</v>
      </c>
      <c r="H6" t="s">
        <v>169</v>
      </c>
      <c r="I6" t="s">
        <v>183</v>
      </c>
      <c r="J6" t="s">
        <v>166</v>
      </c>
      <c r="K6" t="s">
        <v>34</v>
      </c>
      <c r="L6" t="s">
        <v>173</v>
      </c>
    </row>
    <row r="7" spans="1:12" x14ac:dyDescent="0.25">
      <c r="A7" s="2" t="s">
        <v>209</v>
      </c>
      <c r="B7" s="2" t="s">
        <v>210</v>
      </c>
      <c r="C7" s="2" t="s">
        <v>26</v>
      </c>
      <c r="D7" s="2" t="s">
        <v>211</v>
      </c>
      <c r="E7" s="2" t="s">
        <v>18</v>
      </c>
      <c r="F7" s="2" t="s">
        <v>187</v>
      </c>
      <c r="G7" s="2" t="s">
        <v>176</v>
      </c>
      <c r="H7" s="2" t="s">
        <v>169</v>
      </c>
      <c r="I7" s="2" t="s">
        <v>171</v>
      </c>
      <c r="J7" s="2" t="s">
        <v>166</v>
      </c>
      <c r="K7" s="2" t="s">
        <v>96</v>
      </c>
      <c r="L7" s="2" t="s">
        <v>202</v>
      </c>
    </row>
    <row r="8" spans="1:12" x14ac:dyDescent="0.25">
      <c r="A8" t="s">
        <v>212</v>
      </c>
      <c r="B8" t="s">
        <v>212</v>
      </c>
      <c r="C8" t="s">
        <v>127</v>
      </c>
      <c r="D8" t="s">
        <v>213</v>
      </c>
      <c r="E8" t="s">
        <v>18</v>
      </c>
      <c r="F8" t="s">
        <v>177</v>
      </c>
      <c r="G8" t="s">
        <v>173</v>
      </c>
      <c r="H8" t="s">
        <v>185</v>
      </c>
      <c r="I8" t="s">
        <v>171</v>
      </c>
      <c r="J8" t="s">
        <v>166</v>
      </c>
      <c r="K8" t="s">
        <v>34</v>
      </c>
      <c r="L8" t="s">
        <v>173</v>
      </c>
    </row>
    <row r="9" spans="1:12" x14ac:dyDescent="0.25">
      <c r="A9" s="2" t="s">
        <v>214</v>
      </c>
      <c r="B9" s="2" t="s">
        <v>215</v>
      </c>
      <c r="C9" s="2" t="s">
        <v>97</v>
      </c>
      <c r="D9" s="2" t="s">
        <v>216</v>
      </c>
      <c r="E9" s="2" t="s">
        <v>18</v>
      </c>
      <c r="F9" s="2" t="s">
        <v>177</v>
      </c>
      <c r="G9" s="2" t="s">
        <v>173</v>
      </c>
      <c r="H9" s="2" t="s">
        <v>185</v>
      </c>
      <c r="I9" s="2" t="s">
        <v>171</v>
      </c>
      <c r="J9" s="2" t="s">
        <v>166</v>
      </c>
      <c r="K9" s="2" t="s">
        <v>98</v>
      </c>
      <c r="L9" s="2" t="s">
        <v>173</v>
      </c>
    </row>
    <row r="10" spans="1:12" x14ac:dyDescent="0.25">
      <c r="A10" t="s">
        <v>217</v>
      </c>
      <c r="B10" t="s">
        <v>218</v>
      </c>
      <c r="C10" t="s">
        <v>53</v>
      </c>
      <c r="D10" t="s">
        <v>205</v>
      </c>
      <c r="E10" t="s">
        <v>24</v>
      </c>
      <c r="F10" t="s">
        <v>177</v>
      </c>
      <c r="G10" t="s">
        <v>173</v>
      </c>
      <c r="H10" t="s">
        <v>169</v>
      </c>
      <c r="I10" t="s">
        <v>179</v>
      </c>
      <c r="J10" t="s">
        <v>166</v>
      </c>
      <c r="K10" t="s">
        <v>106</v>
      </c>
      <c r="L10" t="s">
        <v>173</v>
      </c>
    </row>
    <row r="11" spans="1:12" x14ac:dyDescent="0.25">
      <c r="A11" s="2" t="s">
        <v>219</v>
      </c>
      <c r="B11" s="2" t="s">
        <v>220</v>
      </c>
      <c r="C11" s="2" t="s">
        <v>60</v>
      </c>
      <c r="D11" s="2" t="s">
        <v>221</v>
      </c>
      <c r="E11" s="2" t="s">
        <v>18</v>
      </c>
      <c r="F11" s="2" t="s">
        <v>177</v>
      </c>
      <c r="G11" s="2" t="s">
        <v>175</v>
      </c>
      <c r="H11" s="2" t="s">
        <v>185</v>
      </c>
      <c r="I11" s="2" t="s">
        <v>171</v>
      </c>
      <c r="J11" s="2" t="s">
        <v>166</v>
      </c>
      <c r="K11" s="2" t="s">
        <v>61</v>
      </c>
      <c r="L11" s="2" t="s">
        <v>222</v>
      </c>
    </row>
    <row r="12" spans="1:12" x14ac:dyDescent="0.25">
      <c r="A12" t="s">
        <v>223</v>
      </c>
      <c r="B12" t="s">
        <v>224</v>
      </c>
      <c r="C12" t="s">
        <v>45</v>
      </c>
      <c r="D12" t="s">
        <v>201</v>
      </c>
      <c r="E12" t="s">
        <v>75</v>
      </c>
      <c r="F12" t="s">
        <v>177</v>
      </c>
      <c r="G12" t="s">
        <v>176</v>
      </c>
      <c r="H12" t="s">
        <v>169</v>
      </c>
      <c r="I12" t="s">
        <v>171</v>
      </c>
      <c r="J12" t="s">
        <v>166</v>
      </c>
      <c r="K12" t="s">
        <v>91</v>
      </c>
      <c r="L12" t="s">
        <v>202</v>
      </c>
    </row>
    <row r="13" spans="1:12" x14ac:dyDescent="0.25">
      <c r="A13" s="2" t="s">
        <v>225</v>
      </c>
      <c r="B13" s="2" t="s">
        <v>226</v>
      </c>
      <c r="C13" s="2" t="s">
        <v>26</v>
      </c>
      <c r="D13" s="2" t="s">
        <v>211</v>
      </c>
      <c r="E13" s="2" t="s">
        <v>18</v>
      </c>
      <c r="F13" s="2" t="s">
        <v>168</v>
      </c>
      <c r="G13" s="2" t="s">
        <v>173</v>
      </c>
      <c r="H13" s="2" t="s">
        <v>169</v>
      </c>
      <c r="I13" s="2" t="s">
        <v>171</v>
      </c>
      <c r="J13" s="2" t="s">
        <v>166</v>
      </c>
      <c r="K13" s="2" t="s">
        <v>27</v>
      </c>
      <c r="L13" s="2" t="s">
        <v>173</v>
      </c>
    </row>
    <row r="14" spans="1:12" x14ac:dyDescent="0.25">
      <c r="A14" t="s">
        <v>227</v>
      </c>
      <c r="B14" t="s">
        <v>228</v>
      </c>
      <c r="C14" t="s">
        <v>45</v>
      </c>
      <c r="D14" t="s">
        <v>201</v>
      </c>
      <c r="E14" t="s">
        <v>18</v>
      </c>
      <c r="F14" t="s">
        <v>168</v>
      </c>
      <c r="G14" t="s">
        <v>176</v>
      </c>
      <c r="H14" t="s">
        <v>169</v>
      </c>
      <c r="I14" t="s">
        <v>171</v>
      </c>
      <c r="J14" t="s">
        <v>166</v>
      </c>
      <c r="K14" t="s">
        <v>133</v>
      </c>
      <c r="L14" t="s">
        <v>202</v>
      </c>
    </row>
    <row r="15" spans="1:12" x14ac:dyDescent="0.25">
      <c r="A15" s="2" t="s">
        <v>229</v>
      </c>
      <c r="B15" s="2" t="s">
        <v>230</v>
      </c>
      <c r="C15" s="2" t="s">
        <v>28</v>
      </c>
      <c r="D15" s="2" t="s">
        <v>231</v>
      </c>
      <c r="E15" s="2" t="s">
        <v>18</v>
      </c>
      <c r="F15" s="2" t="s">
        <v>168</v>
      </c>
      <c r="G15" s="2" t="s">
        <v>173</v>
      </c>
      <c r="H15" s="2" t="s">
        <v>169</v>
      </c>
      <c r="I15" s="2" t="s">
        <v>183</v>
      </c>
      <c r="J15" s="2" t="s">
        <v>166</v>
      </c>
      <c r="K15" s="2" t="s">
        <v>29</v>
      </c>
      <c r="L15" s="2" t="s">
        <v>173</v>
      </c>
    </row>
    <row r="16" spans="1:12" x14ac:dyDescent="0.25">
      <c r="A16" t="s">
        <v>232</v>
      </c>
      <c r="B16" t="s">
        <v>207</v>
      </c>
      <c r="C16" t="s">
        <v>26</v>
      </c>
      <c r="D16" t="s">
        <v>211</v>
      </c>
      <c r="E16" t="s">
        <v>18</v>
      </c>
      <c r="F16" t="s">
        <v>177</v>
      </c>
      <c r="G16" t="s">
        <v>176</v>
      </c>
      <c r="H16" t="s">
        <v>169</v>
      </c>
      <c r="I16" t="s">
        <v>171</v>
      </c>
      <c r="J16" t="s">
        <v>166</v>
      </c>
      <c r="K16" t="s">
        <v>125</v>
      </c>
      <c r="L16" t="s">
        <v>202</v>
      </c>
    </row>
    <row r="17" spans="1:12" x14ac:dyDescent="0.25">
      <c r="A17" s="2" t="s">
        <v>233</v>
      </c>
      <c r="B17" s="2" t="s">
        <v>234</v>
      </c>
      <c r="C17" s="2" t="s">
        <v>28</v>
      </c>
      <c r="D17" s="2" t="s">
        <v>231</v>
      </c>
      <c r="E17" s="2" t="s">
        <v>18</v>
      </c>
      <c r="F17" s="2" t="s">
        <v>177</v>
      </c>
      <c r="G17" s="2" t="s">
        <v>176</v>
      </c>
      <c r="H17" s="2" t="s">
        <v>169</v>
      </c>
      <c r="I17" s="2" t="s">
        <v>183</v>
      </c>
      <c r="J17" s="2" t="s">
        <v>166</v>
      </c>
      <c r="K17" s="2" t="s">
        <v>59</v>
      </c>
      <c r="L17" s="2" t="s">
        <v>202</v>
      </c>
    </row>
    <row r="18" spans="1:12" x14ac:dyDescent="0.25">
      <c r="A18" t="s">
        <v>235</v>
      </c>
      <c r="B18" t="s">
        <v>235</v>
      </c>
      <c r="C18" t="s">
        <v>45</v>
      </c>
      <c r="D18" t="s">
        <v>201</v>
      </c>
      <c r="E18" t="s">
        <v>18</v>
      </c>
      <c r="F18" t="s">
        <v>177</v>
      </c>
      <c r="G18" t="s">
        <v>176</v>
      </c>
      <c r="H18" t="s">
        <v>169</v>
      </c>
      <c r="I18" t="s">
        <v>171</v>
      </c>
      <c r="J18" t="s">
        <v>166</v>
      </c>
      <c r="K18" t="s">
        <v>34</v>
      </c>
      <c r="L18" t="s">
        <v>202</v>
      </c>
    </row>
    <row r="19" spans="1:12" x14ac:dyDescent="0.25">
      <c r="A19" s="2" t="s">
        <v>236</v>
      </c>
      <c r="B19" s="2" t="s">
        <v>237</v>
      </c>
      <c r="C19" s="2" t="s">
        <v>122</v>
      </c>
      <c r="D19" s="2" t="s">
        <v>238</v>
      </c>
      <c r="E19" s="2" t="s">
        <v>18</v>
      </c>
      <c r="F19" s="2" t="s">
        <v>168</v>
      </c>
      <c r="G19" s="2" t="s">
        <v>173</v>
      </c>
      <c r="H19" s="2" t="s">
        <v>169</v>
      </c>
      <c r="I19" s="2" t="s">
        <v>183</v>
      </c>
      <c r="J19" s="2" t="s">
        <v>166</v>
      </c>
      <c r="K19" s="2" t="s">
        <v>123</v>
      </c>
      <c r="L19" s="2" t="s">
        <v>173</v>
      </c>
    </row>
    <row r="20" spans="1:12" x14ac:dyDescent="0.25">
      <c r="A20" t="s">
        <v>239</v>
      </c>
      <c r="B20" t="s">
        <v>240</v>
      </c>
      <c r="C20" t="s">
        <v>28</v>
      </c>
      <c r="D20" t="s">
        <v>231</v>
      </c>
      <c r="E20" t="s">
        <v>18</v>
      </c>
      <c r="F20" t="s">
        <v>177</v>
      </c>
      <c r="G20" t="s">
        <v>176</v>
      </c>
      <c r="H20" t="s">
        <v>169</v>
      </c>
      <c r="I20" t="s">
        <v>183</v>
      </c>
      <c r="J20" t="s">
        <v>166</v>
      </c>
      <c r="K20" t="s">
        <v>101</v>
      </c>
      <c r="L20" t="s">
        <v>202</v>
      </c>
    </row>
    <row r="21" spans="1:12" x14ac:dyDescent="0.25">
      <c r="A21" s="2" t="s">
        <v>241</v>
      </c>
      <c r="B21" s="2" t="s">
        <v>242</v>
      </c>
      <c r="C21" s="2" t="s">
        <v>63</v>
      </c>
      <c r="D21" s="2" t="s">
        <v>243</v>
      </c>
      <c r="E21" s="2" t="s">
        <v>18</v>
      </c>
      <c r="F21" s="2" t="s">
        <v>177</v>
      </c>
      <c r="G21" s="2" t="s">
        <v>176</v>
      </c>
      <c r="H21" s="2" t="s">
        <v>185</v>
      </c>
      <c r="I21" s="2" t="s">
        <v>171</v>
      </c>
      <c r="J21" s="2" t="s">
        <v>166</v>
      </c>
      <c r="K21" s="2" t="s">
        <v>118</v>
      </c>
      <c r="L21" s="2" t="s">
        <v>202</v>
      </c>
    </row>
    <row r="22" spans="1:12" x14ac:dyDescent="0.25">
      <c r="A22" t="s">
        <v>244</v>
      </c>
      <c r="B22" t="s">
        <v>245</v>
      </c>
      <c r="C22" t="s">
        <v>45</v>
      </c>
      <c r="D22" t="s">
        <v>201</v>
      </c>
      <c r="E22" t="s">
        <v>18</v>
      </c>
      <c r="F22" t="s">
        <v>168</v>
      </c>
      <c r="G22" t="s">
        <v>176</v>
      </c>
      <c r="H22" t="s">
        <v>169</v>
      </c>
      <c r="I22" t="s">
        <v>171</v>
      </c>
      <c r="J22" t="s">
        <v>166</v>
      </c>
      <c r="K22" t="s">
        <v>51</v>
      </c>
      <c r="L22" t="s">
        <v>202</v>
      </c>
    </row>
    <row r="23" spans="1:12" x14ac:dyDescent="0.25">
      <c r="A23" s="2" t="s">
        <v>246</v>
      </c>
      <c r="B23" s="2" t="s">
        <v>247</v>
      </c>
      <c r="C23" s="2" t="s">
        <v>45</v>
      </c>
      <c r="D23" s="2" t="s">
        <v>201</v>
      </c>
      <c r="E23" s="2" t="s">
        <v>18</v>
      </c>
      <c r="F23" s="2" t="s">
        <v>177</v>
      </c>
      <c r="G23" s="2" t="s">
        <v>176</v>
      </c>
      <c r="H23" s="2" t="s">
        <v>169</v>
      </c>
      <c r="I23" s="2" t="s">
        <v>171</v>
      </c>
      <c r="J23" s="2" t="s">
        <v>166</v>
      </c>
      <c r="K23" s="2" t="s">
        <v>92</v>
      </c>
      <c r="L23" s="2" t="s">
        <v>202</v>
      </c>
    </row>
    <row r="24" spans="1:12" x14ac:dyDescent="0.25">
      <c r="A24" t="s">
        <v>248</v>
      </c>
      <c r="B24" t="s">
        <v>249</v>
      </c>
      <c r="C24" t="s">
        <v>45</v>
      </c>
      <c r="D24" t="s">
        <v>201</v>
      </c>
      <c r="E24" t="s">
        <v>18</v>
      </c>
      <c r="F24" t="s">
        <v>168</v>
      </c>
      <c r="G24" t="s">
        <v>176</v>
      </c>
      <c r="H24" t="s">
        <v>169</v>
      </c>
      <c r="I24" t="s">
        <v>171</v>
      </c>
      <c r="J24" t="s">
        <v>166</v>
      </c>
      <c r="K24" t="s">
        <v>124</v>
      </c>
      <c r="L24" t="s">
        <v>202</v>
      </c>
    </row>
    <row r="25" spans="1:12" x14ac:dyDescent="0.25">
      <c r="A25" s="2" t="s">
        <v>250</v>
      </c>
      <c r="B25" s="2" t="s">
        <v>251</v>
      </c>
      <c r="C25" s="2" t="s">
        <v>47</v>
      </c>
      <c r="D25" s="2" t="s">
        <v>252</v>
      </c>
      <c r="E25" s="2" t="s">
        <v>18</v>
      </c>
      <c r="F25" s="2" t="s">
        <v>177</v>
      </c>
      <c r="G25" s="2" t="s">
        <v>173</v>
      </c>
      <c r="H25" s="2" t="s">
        <v>169</v>
      </c>
      <c r="I25" s="2" t="s">
        <v>183</v>
      </c>
      <c r="J25" s="2" t="s">
        <v>166</v>
      </c>
      <c r="K25" s="2" t="s">
        <v>130</v>
      </c>
      <c r="L25" s="2" t="s">
        <v>173</v>
      </c>
    </row>
    <row r="26" spans="1:12" x14ac:dyDescent="0.25">
      <c r="A26" t="s">
        <v>253</v>
      </c>
      <c r="B26" t="s">
        <v>254</v>
      </c>
      <c r="C26" t="s">
        <v>45</v>
      </c>
      <c r="D26" t="s">
        <v>201</v>
      </c>
      <c r="E26" t="s">
        <v>18</v>
      </c>
      <c r="F26" t="s">
        <v>168</v>
      </c>
      <c r="G26" t="s">
        <v>176</v>
      </c>
      <c r="H26" t="s">
        <v>169</v>
      </c>
      <c r="I26" t="s">
        <v>171</v>
      </c>
      <c r="J26" t="s">
        <v>166</v>
      </c>
      <c r="K26" t="s">
        <v>52</v>
      </c>
      <c r="L26" t="s">
        <v>202</v>
      </c>
    </row>
    <row r="27" spans="1:12" x14ac:dyDescent="0.25">
      <c r="A27" s="2" t="s">
        <v>255</v>
      </c>
      <c r="B27" s="2" t="s">
        <v>256</v>
      </c>
      <c r="C27" s="2" t="s">
        <v>32</v>
      </c>
      <c r="D27" s="2" t="s">
        <v>257</v>
      </c>
      <c r="E27" s="2" t="s">
        <v>18</v>
      </c>
      <c r="F27" s="2" t="s">
        <v>177</v>
      </c>
      <c r="G27" s="2" t="s">
        <v>173</v>
      </c>
      <c r="H27" s="2" t="s">
        <v>169</v>
      </c>
      <c r="I27" s="2" t="s">
        <v>171</v>
      </c>
      <c r="J27" s="2" t="s">
        <v>166</v>
      </c>
      <c r="K27" s="2" t="s">
        <v>33</v>
      </c>
      <c r="L27" s="2" t="s">
        <v>173</v>
      </c>
    </row>
    <row r="28" spans="1:12" x14ac:dyDescent="0.25">
      <c r="A28" t="s">
        <v>258</v>
      </c>
      <c r="B28" t="s">
        <v>259</v>
      </c>
      <c r="C28" t="s">
        <v>45</v>
      </c>
      <c r="D28" t="s">
        <v>201</v>
      </c>
      <c r="E28" t="s">
        <v>18</v>
      </c>
      <c r="F28" t="s">
        <v>168</v>
      </c>
      <c r="G28" t="s">
        <v>176</v>
      </c>
      <c r="H28" t="s">
        <v>169</v>
      </c>
      <c r="I28" t="s">
        <v>171</v>
      </c>
      <c r="J28" t="s">
        <v>166</v>
      </c>
      <c r="K28" t="s">
        <v>93</v>
      </c>
      <c r="L28" t="s">
        <v>202</v>
      </c>
    </row>
    <row r="29" spans="1:12" x14ac:dyDescent="0.25">
      <c r="A29" s="2" t="s">
        <v>260</v>
      </c>
      <c r="B29" s="2" t="s">
        <v>261</v>
      </c>
      <c r="C29" s="2" t="s">
        <v>45</v>
      </c>
      <c r="D29" s="2" t="s">
        <v>201</v>
      </c>
      <c r="E29" s="2" t="s">
        <v>18</v>
      </c>
      <c r="F29" s="2" t="s">
        <v>168</v>
      </c>
      <c r="G29" s="2" t="s">
        <v>173</v>
      </c>
      <c r="H29" s="2" t="s">
        <v>169</v>
      </c>
      <c r="I29" s="2" t="s">
        <v>171</v>
      </c>
      <c r="J29" s="2" t="s">
        <v>166</v>
      </c>
      <c r="K29" s="2" t="s">
        <v>55</v>
      </c>
      <c r="L29" s="2" t="s">
        <v>173</v>
      </c>
    </row>
    <row r="30" spans="1:12" x14ac:dyDescent="0.25">
      <c r="A30" t="s">
        <v>262</v>
      </c>
      <c r="B30" t="s">
        <v>263</v>
      </c>
      <c r="C30" t="s">
        <v>47</v>
      </c>
      <c r="D30" t="s">
        <v>252</v>
      </c>
      <c r="E30" t="s">
        <v>18</v>
      </c>
      <c r="F30" t="s">
        <v>168</v>
      </c>
      <c r="G30" t="s">
        <v>173</v>
      </c>
      <c r="H30" t="s">
        <v>169</v>
      </c>
      <c r="I30" t="s">
        <v>183</v>
      </c>
      <c r="J30" t="s">
        <v>166</v>
      </c>
      <c r="K30" t="s">
        <v>48</v>
      </c>
      <c r="L30" t="s">
        <v>173</v>
      </c>
    </row>
    <row r="31" spans="1:12" x14ac:dyDescent="0.25">
      <c r="A31" s="2" t="s">
        <v>264</v>
      </c>
      <c r="B31" s="2" t="s">
        <v>265</v>
      </c>
      <c r="C31" s="2" t="s">
        <v>30</v>
      </c>
      <c r="D31" s="2" t="s">
        <v>266</v>
      </c>
      <c r="E31" s="2" t="s">
        <v>18</v>
      </c>
      <c r="F31" s="2" t="s">
        <v>177</v>
      </c>
      <c r="G31" s="2" t="s">
        <v>173</v>
      </c>
      <c r="H31" s="2" t="s">
        <v>185</v>
      </c>
      <c r="I31" s="2" t="s">
        <v>171</v>
      </c>
      <c r="J31" s="2" t="s">
        <v>166</v>
      </c>
      <c r="K31" s="2" t="s">
        <v>31</v>
      </c>
      <c r="L31" s="2" t="s">
        <v>173</v>
      </c>
    </row>
    <row r="32" spans="1:12" x14ac:dyDescent="0.25">
      <c r="A32" t="s">
        <v>267</v>
      </c>
      <c r="B32" t="s">
        <v>268</v>
      </c>
      <c r="C32" t="s">
        <v>45</v>
      </c>
      <c r="D32" t="s">
        <v>201</v>
      </c>
      <c r="E32" t="s">
        <v>18</v>
      </c>
      <c r="F32" t="s">
        <v>177</v>
      </c>
      <c r="G32" t="s">
        <v>176</v>
      </c>
      <c r="H32" t="s">
        <v>169</v>
      </c>
      <c r="I32" t="s">
        <v>171</v>
      </c>
      <c r="J32" t="s">
        <v>166</v>
      </c>
      <c r="K32" t="s">
        <v>94</v>
      </c>
      <c r="L32" t="s">
        <v>202</v>
      </c>
    </row>
    <row r="33" spans="1:12" x14ac:dyDescent="0.25">
      <c r="A33" s="2" t="s">
        <v>269</v>
      </c>
      <c r="B33" s="2" t="s">
        <v>270</v>
      </c>
      <c r="C33" s="2" t="s">
        <v>53</v>
      </c>
      <c r="D33" s="2" t="s">
        <v>205</v>
      </c>
      <c r="E33" s="2" t="s">
        <v>24</v>
      </c>
      <c r="F33" s="2" t="s">
        <v>177</v>
      </c>
      <c r="G33" s="2" t="s">
        <v>173</v>
      </c>
      <c r="H33" s="2" t="s">
        <v>169</v>
      </c>
      <c r="I33" s="2" t="s">
        <v>179</v>
      </c>
      <c r="J33" s="2" t="s">
        <v>166</v>
      </c>
      <c r="K33" s="2" t="s">
        <v>140</v>
      </c>
      <c r="L33" s="2" t="s">
        <v>173</v>
      </c>
    </row>
    <row r="34" spans="1:12" x14ac:dyDescent="0.25">
      <c r="A34" t="s">
        <v>271</v>
      </c>
      <c r="B34" t="s">
        <v>272</v>
      </c>
      <c r="C34" t="s">
        <v>57</v>
      </c>
      <c r="D34" t="s">
        <v>273</v>
      </c>
      <c r="E34" t="s">
        <v>18</v>
      </c>
      <c r="F34" t="s">
        <v>177</v>
      </c>
      <c r="G34" t="s">
        <v>176</v>
      </c>
      <c r="H34" t="s">
        <v>185</v>
      </c>
      <c r="I34" t="s">
        <v>171</v>
      </c>
      <c r="J34" t="s">
        <v>166</v>
      </c>
      <c r="K34" t="s">
        <v>114</v>
      </c>
      <c r="L34" t="s">
        <v>202</v>
      </c>
    </row>
    <row r="35" spans="1:12" x14ac:dyDescent="0.25">
      <c r="A35" s="2" t="s">
        <v>274</v>
      </c>
      <c r="B35" s="2" t="s">
        <v>275</v>
      </c>
      <c r="C35" s="2" t="s">
        <v>47</v>
      </c>
      <c r="D35" s="2" t="s">
        <v>252</v>
      </c>
      <c r="E35" s="2" t="s">
        <v>18</v>
      </c>
      <c r="F35" s="2" t="s">
        <v>177</v>
      </c>
      <c r="G35" s="2" t="s">
        <v>173</v>
      </c>
      <c r="H35" s="2" t="s">
        <v>169</v>
      </c>
      <c r="I35" s="2" t="s">
        <v>183</v>
      </c>
      <c r="J35" s="2" t="s">
        <v>166</v>
      </c>
      <c r="K35" s="2" t="s">
        <v>117</v>
      </c>
      <c r="L35" s="2" t="s">
        <v>173</v>
      </c>
    </row>
    <row r="36" spans="1:12" x14ac:dyDescent="0.25">
      <c r="A36" t="s">
        <v>276</v>
      </c>
      <c r="B36" t="s">
        <v>277</v>
      </c>
      <c r="C36" t="s">
        <v>41</v>
      </c>
      <c r="D36" t="s">
        <v>278</v>
      </c>
      <c r="E36" t="s">
        <v>18</v>
      </c>
      <c r="F36" t="s">
        <v>177</v>
      </c>
      <c r="G36" t="s">
        <v>173</v>
      </c>
      <c r="H36" t="s">
        <v>169</v>
      </c>
      <c r="I36" t="s">
        <v>183</v>
      </c>
      <c r="J36" t="s">
        <v>166</v>
      </c>
      <c r="K36" t="s">
        <v>99</v>
      </c>
      <c r="L36" t="s">
        <v>173</v>
      </c>
    </row>
    <row r="37" spans="1:12" x14ac:dyDescent="0.25">
      <c r="A37" s="2" t="s">
        <v>279</v>
      </c>
      <c r="B37" s="2" t="s">
        <v>280</v>
      </c>
      <c r="C37" s="2" t="s">
        <v>111</v>
      </c>
      <c r="D37" s="2" t="s">
        <v>281</v>
      </c>
      <c r="E37" s="2" t="s">
        <v>18</v>
      </c>
      <c r="F37" s="2" t="s">
        <v>177</v>
      </c>
      <c r="G37" s="2" t="s">
        <v>175</v>
      </c>
      <c r="H37" s="2" t="s">
        <v>169</v>
      </c>
      <c r="I37" s="2" t="s">
        <v>171</v>
      </c>
      <c r="J37" s="2" t="s">
        <v>166</v>
      </c>
      <c r="K37" s="2" t="s">
        <v>112</v>
      </c>
      <c r="L37" s="2" t="s">
        <v>222</v>
      </c>
    </row>
    <row r="38" spans="1:12" x14ac:dyDescent="0.25">
      <c r="A38" t="s">
        <v>282</v>
      </c>
      <c r="B38" t="s">
        <v>283</v>
      </c>
      <c r="C38" t="s">
        <v>47</v>
      </c>
      <c r="D38" t="s">
        <v>252</v>
      </c>
      <c r="E38" t="s">
        <v>24</v>
      </c>
      <c r="F38" t="s">
        <v>177</v>
      </c>
      <c r="G38" t="s">
        <v>173</v>
      </c>
      <c r="H38" t="s">
        <v>169</v>
      </c>
      <c r="I38" t="s">
        <v>183</v>
      </c>
      <c r="J38" t="s">
        <v>166</v>
      </c>
      <c r="K38" t="s">
        <v>49</v>
      </c>
      <c r="L38" t="s">
        <v>173</v>
      </c>
    </row>
    <row r="39" spans="1:12" x14ac:dyDescent="0.25">
      <c r="A39" s="2" t="s">
        <v>284</v>
      </c>
      <c r="B39" s="2" t="s">
        <v>285</v>
      </c>
      <c r="C39" s="2" t="s">
        <v>122</v>
      </c>
      <c r="D39" s="2" t="s">
        <v>238</v>
      </c>
      <c r="E39" s="2" t="s">
        <v>18</v>
      </c>
      <c r="F39" s="2" t="s">
        <v>168</v>
      </c>
      <c r="G39" s="2" t="s">
        <v>173</v>
      </c>
      <c r="H39" s="2" t="s">
        <v>169</v>
      </c>
      <c r="I39" s="2" t="s">
        <v>183</v>
      </c>
      <c r="J39" s="2" t="s">
        <v>166</v>
      </c>
      <c r="K39" s="2" t="s">
        <v>134</v>
      </c>
      <c r="L39" s="2" t="s">
        <v>173</v>
      </c>
    </row>
    <row r="40" spans="1:12" x14ac:dyDescent="0.25">
      <c r="A40" t="s">
        <v>286</v>
      </c>
      <c r="B40" t="s">
        <v>287</v>
      </c>
      <c r="C40" t="s">
        <v>122</v>
      </c>
      <c r="D40" t="s">
        <v>238</v>
      </c>
      <c r="E40" t="s">
        <v>18</v>
      </c>
      <c r="F40" t="s">
        <v>177</v>
      </c>
      <c r="G40" t="s">
        <v>173</v>
      </c>
      <c r="H40" t="s">
        <v>169</v>
      </c>
      <c r="I40" t="s">
        <v>183</v>
      </c>
      <c r="J40" t="s">
        <v>166</v>
      </c>
      <c r="K40" t="s">
        <v>139</v>
      </c>
      <c r="L40" t="s">
        <v>173</v>
      </c>
    </row>
    <row r="41" spans="1:12" x14ac:dyDescent="0.25">
      <c r="A41" s="2" t="s">
        <v>288</v>
      </c>
      <c r="B41" s="2" t="s">
        <v>289</v>
      </c>
      <c r="C41" s="2" t="s">
        <v>65</v>
      </c>
      <c r="D41" s="2" t="s">
        <v>290</v>
      </c>
      <c r="E41" s="2" t="s">
        <v>18</v>
      </c>
      <c r="F41" s="2" t="s">
        <v>177</v>
      </c>
      <c r="G41" s="2" t="s">
        <v>173</v>
      </c>
      <c r="H41" s="2" t="s">
        <v>169</v>
      </c>
      <c r="I41" s="2" t="s">
        <v>183</v>
      </c>
      <c r="J41" s="2" t="s">
        <v>166</v>
      </c>
      <c r="K41" s="2" t="s">
        <v>137</v>
      </c>
      <c r="L41" s="2" t="s">
        <v>173</v>
      </c>
    </row>
    <row r="42" spans="1:12" x14ac:dyDescent="0.25">
      <c r="A42" t="s">
        <v>291</v>
      </c>
      <c r="B42" t="s">
        <v>292</v>
      </c>
      <c r="C42" t="s">
        <v>67</v>
      </c>
      <c r="D42" t="s">
        <v>198</v>
      </c>
      <c r="E42" t="s">
        <v>18</v>
      </c>
      <c r="F42" t="s">
        <v>177</v>
      </c>
      <c r="G42" t="s">
        <v>173</v>
      </c>
      <c r="H42" t="s">
        <v>169</v>
      </c>
      <c r="I42" t="s">
        <v>183</v>
      </c>
      <c r="J42" t="s">
        <v>166</v>
      </c>
      <c r="K42" t="s">
        <v>138</v>
      </c>
      <c r="L42" t="s">
        <v>173</v>
      </c>
    </row>
    <row r="43" spans="1:12" x14ac:dyDescent="0.25">
      <c r="A43" s="2" t="s">
        <v>293</v>
      </c>
      <c r="B43" s="2" t="s">
        <v>294</v>
      </c>
      <c r="C43" s="2" t="s">
        <v>67</v>
      </c>
      <c r="D43" s="2" t="s">
        <v>198</v>
      </c>
      <c r="E43" s="2" t="s">
        <v>18</v>
      </c>
      <c r="F43" s="2" t="s">
        <v>177</v>
      </c>
      <c r="G43" s="2" t="s">
        <v>173</v>
      </c>
      <c r="H43" s="2" t="s">
        <v>169</v>
      </c>
      <c r="I43" s="2" t="s">
        <v>183</v>
      </c>
      <c r="J43" s="2" t="s">
        <v>166</v>
      </c>
      <c r="K43" s="2" t="s">
        <v>131</v>
      </c>
      <c r="L43" s="2" t="s">
        <v>173</v>
      </c>
    </row>
    <row r="44" spans="1:12" x14ac:dyDescent="0.25">
      <c r="A44" t="s">
        <v>295</v>
      </c>
      <c r="B44" t="s">
        <v>296</v>
      </c>
      <c r="C44" t="s">
        <v>65</v>
      </c>
      <c r="D44" t="s">
        <v>290</v>
      </c>
      <c r="E44" t="s">
        <v>18</v>
      </c>
      <c r="F44" t="s">
        <v>177</v>
      </c>
      <c r="G44" t="s">
        <v>173</v>
      </c>
      <c r="H44" t="s">
        <v>169</v>
      </c>
      <c r="I44" t="s">
        <v>183</v>
      </c>
      <c r="J44" t="s">
        <v>166</v>
      </c>
      <c r="K44" t="s">
        <v>66</v>
      </c>
      <c r="L44" t="s">
        <v>173</v>
      </c>
    </row>
    <row r="45" spans="1:12" x14ac:dyDescent="0.25">
      <c r="A45" s="2" t="s">
        <v>297</v>
      </c>
      <c r="B45" s="2" t="s">
        <v>298</v>
      </c>
      <c r="C45" s="2" t="s">
        <v>63</v>
      </c>
      <c r="D45" s="2" t="s">
        <v>243</v>
      </c>
      <c r="E45" s="2" t="s">
        <v>18</v>
      </c>
      <c r="F45" s="2" t="s">
        <v>177</v>
      </c>
      <c r="G45" s="2" t="s">
        <v>173</v>
      </c>
      <c r="H45" s="2" t="s">
        <v>185</v>
      </c>
      <c r="I45" s="2" t="s">
        <v>171</v>
      </c>
      <c r="J45" s="2" t="s">
        <v>166</v>
      </c>
      <c r="K45" s="2" t="s">
        <v>64</v>
      </c>
      <c r="L45" s="2" t="s">
        <v>173</v>
      </c>
    </row>
    <row r="46" spans="1:12" x14ac:dyDescent="0.25">
      <c r="A46" t="s">
        <v>299</v>
      </c>
      <c r="B46" t="s">
        <v>300</v>
      </c>
      <c r="C46" t="s">
        <v>47</v>
      </c>
      <c r="D46" t="s">
        <v>252</v>
      </c>
      <c r="E46" t="s">
        <v>24</v>
      </c>
      <c r="F46" t="s">
        <v>168</v>
      </c>
      <c r="G46" t="s">
        <v>173</v>
      </c>
      <c r="H46" t="s">
        <v>169</v>
      </c>
      <c r="I46" t="s">
        <v>183</v>
      </c>
      <c r="J46" t="s">
        <v>166</v>
      </c>
      <c r="K46" t="s">
        <v>50</v>
      </c>
      <c r="L46" t="s">
        <v>173</v>
      </c>
    </row>
    <row r="47" spans="1:12" x14ac:dyDescent="0.25">
      <c r="A47" s="2" t="s">
        <v>301</v>
      </c>
      <c r="B47" s="2" t="s">
        <v>302</v>
      </c>
      <c r="C47" s="2" t="s">
        <v>53</v>
      </c>
      <c r="D47" s="2" t="s">
        <v>205</v>
      </c>
      <c r="E47" s="2" t="s">
        <v>24</v>
      </c>
      <c r="F47" s="2" t="s">
        <v>168</v>
      </c>
      <c r="G47" s="2" t="s">
        <v>176</v>
      </c>
      <c r="H47" s="2" t="s">
        <v>169</v>
      </c>
      <c r="I47" s="2" t="s">
        <v>179</v>
      </c>
      <c r="J47" s="2" t="s">
        <v>166</v>
      </c>
      <c r="K47" s="2" t="s">
        <v>54</v>
      </c>
      <c r="L47" s="2" t="s">
        <v>202</v>
      </c>
    </row>
    <row r="48" spans="1:12" x14ac:dyDescent="0.25">
      <c r="A48" t="s">
        <v>303</v>
      </c>
      <c r="B48" t="s">
        <v>304</v>
      </c>
      <c r="C48" t="s">
        <v>28</v>
      </c>
      <c r="D48" t="s">
        <v>231</v>
      </c>
      <c r="E48" t="s">
        <v>18</v>
      </c>
      <c r="F48" t="s">
        <v>177</v>
      </c>
      <c r="G48" t="s">
        <v>176</v>
      </c>
      <c r="H48" t="s">
        <v>169</v>
      </c>
      <c r="I48" t="s">
        <v>183</v>
      </c>
      <c r="J48" t="s">
        <v>166</v>
      </c>
      <c r="K48" t="s">
        <v>56</v>
      </c>
      <c r="L48" t="s">
        <v>202</v>
      </c>
    </row>
    <row r="49" spans="1:12" x14ac:dyDescent="0.25">
      <c r="A49" s="2" t="s">
        <v>305</v>
      </c>
      <c r="B49" s="2" t="s">
        <v>306</v>
      </c>
      <c r="C49" s="2" t="s">
        <v>108</v>
      </c>
      <c r="D49" s="2" t="s">
        <v>307</v>
      </c>
      <c r="E49" s="2" t="s">
        <v>18</v>
      </c>
      <c r="F49" s="2" t="s">
        <v>177</v>
      </c>
      <c r="G49" s="2" t="s">
        <v>175</v>
      </c>
      <c r="H49" s="2" t="s">
        <v>185</v>
      </c>
      <c r="I49" s="2" t="s">
        <v>179</v>
      </c>
      <c r="J49" s="2" t="s">
        <v>166</v>
      </c>
      <c r="K49" s="2" t="s">
        <v>109</v>
      </c>
      <c r="L49" s="2" t="s">
        <v>222</v>
      </c>
    </row>
    <row r="50" spans="1:12" x14ac:dyDescent="0.25">
      <c r="A50" t="s">
        <v>308</v>
      </c>
      <c r="B50" t="s">
        <v>309</v>
      </c>
      <c r="C50" t="s">
        <v>41</v>
      </c>
      <c r="D50" t="s">
        <v>278</v>
      </c>
      <c r="E50" t="s">
        <v>18</v>
      </c>
      <c r="F50" t="s">
        <v>177</v>
      </c>
      <c r="G50" t="s">
        <v>175</v>
      </c>
      <c r="H50" t="s">
        <v>169</v>
      </c>
      <c r="I50" t="s">
        <v>183</v>
      </c>
      <c r="J50" t="s">
        <v>166</v>
      </c>
      <c r="K50" t="s">
        <v>100</v>
      </c>
      <c r="L50" t="s">
        <v>222</v>
      </c>
    </row>
    <row r="51" spans="1:12" x14ac:dyDescent="0.25">
      <c r="A51" s="2" t="s">
        <v>310</v>
      </c>
      <c r="B51" s="2" t="s">
        <v>310</v>
      </c>
      <c r="C51" s="2" t="s">
        <v>41</v>
      </c>
      <c r="D51" s="2" t="s">
        <v>278</v>
      </c>
      <c r="E51" s="2" t="s">
        <v>18</v>
      </c>
      <c r="F51" s="2" t="s">
        <v>177</v>
      </c>
      <c r="G51" s="2" t="s">
        <v>175</v>
      </c>
      <c r="H51" s="2" t="s">
        <v>169</v>
      </c>
      <c r="I51" s="2" t="s">
        <v>183</v>
      </c>
      <c r="J51" s="2" t="s">
        <v>166</v>
      </c>
      <c r="K51" s="2" t="s">
        <v>34</v>
      </c>
      <c r="L51" s="2" t="s">
        <v>222</v>
      </c>
    </row>
    <row r="52" spans="1:12" x14ac:dyDescent="0.25">
      <c r="A52" t="s">
        <v>311</v>
      </c>
      <c r="B52" t="s">
        <v>312</v>
      </c>
      <c r="C52" t="s">
        <v>41</v>
      </c>
      <c r="D52" t="s">
        <v>278</v>
      </c>
      <c r="E52" t="s">
        <v>18</v>
      </c>
      <c r="F52" t="s">
        <v>177</v>
      </c>
      <c r="G52" t="s">
        <v>175</v>
      </c>
      <c r="H52" t="s">
        <v>169</v>
      </c>
      <c r="I52" t="s">
        <v>183</v>
      </c>
      <c r="J52" t="s">
        <v>166</v>
      </c>
      <c r="K52" t="s">
        <v>42</v>
      </c>
      <c r="L52" t="s">
        <v>222</v>
      </c>
    </row>
    <row r="53" spans="1:12" x14ac:dyDescent="0.25">
      <c r="A53" s="2" t="s">
        <v>313</v>
      </c>
      <c r="B53" s="2" t="s">
        <v>314</v>
      </c>
      <c r="C53" s="2" t="s">
        <v>97</v>
      </c>
      <c r="D53" s="2" t="s">
        <v>216</v>
      </c>
      <c r="E53" s="2" t="s">
        <v>18</v>
      </c>
      <c r="F53" s="2" t="s">
        <v>177</v>
      </c>
      <c r="G53" s="2" t="s">
        <v>176</v>
      </c>
      <c r="H53" s="2" t="s">
        <v>185</v>
      </c>
      <c r="I53" s="2" t="s">
        <v>171</v>
      </c>
      <c r="J53" s="2" t="s">
        <v>166</v>
      </c>
      <c r="K53" s="2" t="s">
        <v>141</v>
      </c>
      <c r="L53" s="2" t="s">
        <v>202</v>
      </c>
    </row>
    <row r="54" spans="1:12" x14ac:dyDescent="0.25">
      <c r="A54" t="s">
        <v>315</v>
      </c>
      <c r="B54" t="s">
        <v>316</v>
      </c>
      <c r="C54" t="s">
        <v>39</v>
      </c>
      <c r="D54" t="s">
        <v>317</v>
      </c>
      <c r="E54" t="s">
        <v>18</v>
      </c>
      <c r="F54" t="s">
        <v>177</v>
      </c>
      <c r="G54" t="s">
        <v>176</v>
      </c>
      <c r="H54" t="s">
        <v>169</v>
      </c>
      <c r="I54" t="s">
        <v>171</v>
      </c>
      <c r="J54" t="s">
        <v>166</v>
      </c>
      <c r="K54" t="s">
        <v>113</v>
      </c>
      <c r="L54" t="s">
        <v>202</v>
      </c>
    </row>
    <row r="55" spans="1:12" x14ac:dyDescent="0.25">
      <c r="A55" s="2" t="s">
        <v>318</v>
      </c>
      <c r="B55" s="2" t="s">
        <v>319</v>
      </c>
      <c r="C55" s="2" t="s">
        <v>39</v>
      </c>
      <c r="D55" s="2" t="s">
        <v>317</v>
      </c>
      <c r="E55" s="2" t="s">
        <v>18</v>
      </c>
      <c r="F55" s="2" t="s">
        <v>177</v>
      </c>
      <c r="G55" s="2" t="s">
        <v>176</v>
      </c>
      <c r="H55" s="2" t="s">
        <v>169</v>
      </c>
      <c r="I55" s="2" t="s">
        <v>171</v>
      </c>
      <c r="J55" s="2" t="s">
        <v>166</v>
      </c>
      <c r="K55" s="2" t="s">
        <v>110</v>
      </c>
      <c r="L55" s="2" t="s">
        <v>202</v>
      </c>
    </row>
    <row r="56" spans="1:12" x14ac:dyDescent="0.25">
      <c r="A56" t="s">
        <v>320</v>
      </c>
      <c r="B56" t="s">
        <v>321</v>
      </c>
      <c r="C56" t="s">
        <v>39</v>
      </c>
      <c r="D56" t="s">
        <v>317</v>
      </c>
      <c r="E56" t="s">
        <v>75</v>
      </c>
      <c r="F56" t="s">
        <v>177</v>
      </c>
      <c r="G56" t="s">
        <v>176</v>
      </c>
      <c r="H56" t="s">
        <v>169</v>
      </c>
      <c r="I56" t="s">
        <v>171</v>
      </c>
      <c r="J56" t="s">
        <v>166</v>
      </c>
      <c r="K56" t="s">
        <v>120</v>
      </c>
      <c r="L56" t="s">
        <v>202</v>
      </c>
    </row>
    <row r="57" spans="1:12" x14ac:dyDescent="0.25">
      <c r="A57" s="2" t="s">
        <v>322</v>
      </c>
      <c r="B57" s="2" t="s">
        <v>323</v>
      </c>
      <c r="C57" s="2" t="s">
        <v>39</v>
      </c>
      <c r="D57" s="2" t="s">
        <v>317</v>
      </c>
      <c r="E57" s="2" t="s">
        <v>18</v>
      </c>
      <c r="F57" s="2" t="s">
        <v>177</v>
      </c>
      <c r="G57" s="2" t="s">
        <v>176</v>
      </c>
      <c r="H57" s="2" t="s">
        <v>169</v>
      </c>
      <c r="I57" s="2" t="s">
        <v>171</v>
      </c>
      <c r="J57" s="2" t="s">
        <v>166</v>
      </c>
      <c r="K57" s="2" t="s">
        <v>82</v>
      </c>
      <c r="L57" s="2" t="s">
        <v>202</v>
      </c>
    </row>
    <row r="58" spans="1:12" x14ac:dyDescent="0.25">
      <c r="A58" t="s">
        <v>324</v>
      </c>
      <c r="B58" t="s">
        <v>325</v>
      </c>
      <c r="C58" t="s">
        <v>39</v>
      </c>
      <c r="D58" t="s">
        <v>317</v>
      </c>
      <c r="E58" t="s">
        <v>18</v>
      </c>
      <c r="F58" t="s">
        <v>168</v>
      </c>
      <c r="G58" t="s">
        <v>176</v>
      </c>
      <c r="H58" t="s">
        <v>169</v>
      </c>
      <c r="I58" t="s">
        <v>171</v>
      </c>
      <c r="J58" t="s">
        <v>166</v>
      </c>
      <c r="K58" t="s">
        <v>40</v>
      </c>
      <c r="L58" t="s">
        <v>202</v>
      </c>
    </row>
    <row r="59" spans="1:12" x14ac:dyDescent="0.25">
      <c r="A59" s="2" t="s">
        <v>326</v>
      </c>
      <c r="B59" s="2" t="s">
        <v>327</v>
      </c>
      <c r="C59" s="2" t="s">
        <v>39</v>
      </c>
      <c r="D59" s="2" t="s">
        <v>317</v>
      </c>
      <c r="E59" s="2" t="s">
        <v>18</v>
      </c>
      <c r="F59" s="2" t="s">
        <v>177</v>
      </c>
      <c r="G59" s="2" t="s">
        <v>176</v>
      </c>
      <c r="H59" s="2" t="s">
        <v>169</v>
      </c>
      <c r="I59" s="2" t="s">
        <v>171</v>
      </c>
      <c r="J59" s="2" t="s">
        <v>166</v>
      </c>
      <c r="K59" s="2" t="s">
        <v>83</v>
      </c>
      <c r="L59" s="2" t="s">
        <v>202</v>
      </c>
    </row>
    <row r="60" spans="1:12" x14ac:dyDescent="0.25">
      <c r="A60" t="s">
        <v>328</v>
      </c>
      <c r="B60" t="s">
        <v>329</v>
      </c>
      <c r="C60" t="s">
        <v>85</v>
      </c>
      <c r="D60" t="s">
        <v>330</v>
      </c>
      <c r="E60" t="s">
        <v>18</v>
      </c>
      <c r="F60" t="s">
        <v>177</v>
      </c>
      <c r="G60" t="s">
        <v>176</v>
      </c>
      <c r="H60" t="s">
        <v>169</v>
      </c>
      <c r="I60" t="s">
        <v>171</v>
      </c>
      <c r="J60" t="s">
        <v>166</v>
      </c>
      <c r="K60" t="s">
        <v>86</v>
      </c>
      <c r="L60" t="s">
        <v>202</v>
      </c>
    </row>
    <row r="61" spans="1:12" x14ac:dyDescent="0.25">
      <c r="A61" s="2" t="s">
        <v>331</v>
      </c>
      <c r="B61" s="2" t="s">
        <v>332</v>
      </c>
      <c r="C61" s="2" t="s">
        <v>85</v>
      </c>
      <c r="D61" s="2" t="s">
        <v>330</v>
      </c>
      <c r="E61" s="2" t="s">
        <v>18</v>
      </c>
      <c r="F61" s="2" t="s">
        <v>177</v>
      </c>
      <c r="G61" s="2" t="s">
        <v>176</v>
      </c>
      <c r="H61" s="2" t="s">
        <v>169</v>
      </c>
      <c r="I61" s="2" t="s">
        <v>171</v>
      </c>
      <c r="J61" s="2" t="s">
        <v>166</v>
      </c>
      <c r="K61" s="2" t="s">
        <v>87</v>
      </c>
      <c r="L61" s="2" t="s">
        <v>202</v>
      </c>
    </row>
    <row r="62" spans="1:12" x14ac:dyDescent="0.25">
      <c r="A62" t="s">
        <v>333</v>
      </c>
      <c r="B62" t="s">
        <v>334</v>
      </c>
      <c r="C62" t="s">
        <v>85</v>
      </c>
      <c r="D62" t="s">
        <v>330</v>
      </c>
      <c r="E62" t="s">
        <v>18</v>
      </c>
      <c r="F62" t="s">
        <v>177</v>
      </c>
      <c r="G62" t="s">
        <v>176</v>
      </c>
      <c r="H62" t="s">
        <v>169</v>
      </c>
      <c r="I62" t="s">
        <v>171</v>
      </c>
      <c r="J62" t="s">
        <v>166</v>
      </c>
      <c r="K62" t="s">
        <v>88</v>
      </c>
      <c r="L62" t="s">
        <v>202</v>
      </c>
    </row>
    <row r="63" spans="1:12" x14ac:dyDescent="0.25">
      <c r="A63" s="2" t="s">
        <v>335</v>
      </c>
      <c r="B63" s="2" t="s">
        <v>336</v>
      </c>
      <c r="C63" s="2" t="s">
        <v>85</v>
      </c>
      <c r="D63" s="2" t="s">
        <v>330</v>
      </c>
      <c r="E63" s="2" t="s">
        <v>18</v>
      </c>
      <c r="F63" s="2" t="s">
        <v>177</v>
      </c>
      <c r="G63" s="2" t="s">
        <v>176</v>
      </c>
      <c r="H63" s="2" t="s">
        <v>169</v>
      </c>
      <c r="I63" s="2" t="s">
        <v>171</v>
      </c>
      <c r="J63" s="2" t="s">
        <v>166</v>
      </c>
      <c r="K63" s="2" t="s">
        <v>89</v>
      </c>
      <c r="L63" s="2" t="s">
        <v>202</v>
      </c>
    </row>
    <row r="64" spans="1:12" x14ac:dyDescent="0.25">
      <c r="A64" t="s">
        <v>337</v>
      </c>
      <c r="B64" t="s">
        <v>338</v>
      </c>
      <c r="C64" t="s">
        <v>85</v>
      </c>
      <c r="D64" t="s">
        <v>330</v>
      </c>
      <c r="E64" t="s">
        <v>75</v>
      </c>
      <c r="F64" t="s">
        <v>177</v>
      </c>
      <c r="G64" t="s">
        <v>176</v>
      </c>
      <c r="H64" t="s">
        <v>169</v>
      </c>
      <c r="I64" t="s">
        <v>171</v>
      </c>
      <c r="J64" t="s">
        <v>166</v>
      </c>
      <c r="K64" t="s">
        <v>121</v>
      </c>
      <c r="L64" t="s">
        <v>202</v>
      </c>
    </row>
    <row r="65" spans="1:12" x14ac:dyDescent="0.25">
      <c r="A65" s="2" t="s">
        <v>339</v>
      </c>
      <c r="B65" s="2" t="s">
        <v>340</v>
      </c>
      <c r="C65" s="2" t="s">
        <v>135</v>
      </c>
      <c r="D65" s="2" t="s">
        <v>341</v>
      </c>
      <c r="E65" s="2" t="s">
        <v>18</v>
      </c>
      <c r="F65" s="2" t="s">
        <v>177</v>
      </c>
      <c r="G65" s="2" t="s">
        <v>173</v>
      </c>
      <c r="H65" s="2" t="s">
        <v>169</v>
      </c>
      <c r="I65" s="2" t="s">
        <v>171</v>
      </c>
      <c r="J65" s="2" t="s">
        <v>166</v>
      </c>
      <c r="K65" s="2" t="s">
        <v>136</v>
      </c>
      <c r="L65" s="2" t="s">
        <v>173</v>
      </c>
    </row>
    <row r="66" spans="1:12" x14ac:dyDescent="0.25">
      <c r="A66" t="s">
        <v>342</v>
      </c>
      <c r="B66" t="s">
        <v>343</v>
      </c>
      <c r="C66" t="s">
        <v>128</v>
      </c>
      <c r="D66" t="s">
        <v>344</v>
      </c>
      <c r="E66" t="s">
        <v>18</v>
      </c>
      <c r="F66" t="s">
        <v>177</v>
      </c>
      <c r="G66" t="s">
        <v>175</v>
      </c>
      <c r="H66" t="s">
        <v>169</v>
      </c>
      <c r="I66" t="s">
        <v>171</v>
      </c>
      <c r="J66" t="s">
        <v>166</v>
      </c>
      <c r="K66" t="s">
        <v>129</v>
      </c>
      <c r="L66" t="s">
        <v>222</v>
      </c>
    </row>
    <row r="67" spans="1:12" x14ac:dyDescent="0.25">
      <c r="A67" s="2" t="s">
        <v>345</v>
      </c>
      <c r="B67" s="2" t="s">
        <v>346</v>
      </c>
      <c r="C67" s="2" t="s">
        <v>17</v>
      </c>
      <c r="D67" s="2" t="s">
        <v>347</v>
      </c>
      <c r="E67" s="2" t="s">
        <v>18</v>
      </c>
      <c r="F67" s="2" t="s">
        <v>168</v>
      </c>
      <c r="G67" s="2" t="s">
        <v>173</v>
      </c>
      <c r="H67" s="2" t="s">
        <v>169</v>
      </c>
      <c r="I67" s="2" t="s">
        <v>171</v>
      </c>
      <c r="J67" s="2" t="s">
        <v>166</v>
      </c>
      <c r="K67" s="2" t="s">
        <v>19</v>
      </c>
      <c r="L67" s="2" t="s">
        <v>173</v>
      </c>
    </row>
    <row r="68" spans="1:12" x14ac:dyDescent="0.25">
      <c r="A68" t="s">
        <v>348</v>
      </c>
      <c r="B68" t="s">
        <v>349</v>
      </c>
      <c r="C68" t="s">
        <v>22</v>
      </c>
      <c r="D68" t="s">
        <v>350</v>
      </c>
      <c r="E68" t="s">
        <v>18</v>
      </c>
      <c r="F68" t="s">
        <v>168</v>
      </c>
      <c r="G68" t="s">
        <v>173</v>
      </c>
      <c r="H68" t="s">
        <v>169</v>
      </c>
      <c r="I68" t="s">
        <v>171</v>
      </c>
      <c r="J68" t="s">
        <v>166</v>
      </c>
      <c r="K68" t="s">
        <v>23</v>
      </c>
      <c r="L68" t="s">
        <v>173</v>
      </c>
    </row>
    <row r="69" spans="1:12" x14ac:dyDescent="0.25">
      <c r="A69" s="2" t="s">
        <v>351</v>
      </c>
      <c r="B69" s="2" t="s">
        <v>352</v>
      </c>
      <c r="C69" s="2" t="s">
        <v>128</v>
      </c>
      <c r="D69" s="2" t="s">
        <v>344</v>
      </c>
      <c r="E69" s="2" t="s">
        <v>18</v>
      </c>
      <c r="F69" s="2" t="s">
        <v>177</v>
      </c>
      <c r="G69" s="2" t="s">
        <v>175</v>
      </c>
      <c r="H69" s="2" t="s">
        <v>169</v>
      </c>
      <c r="I69" s="2" t="s">
        <v>171</v>
      </c>
      <c r="J69" s="2" t="s">
        <v>166</v>
      </c>
      <c r="K69" s="2" t="s">
        <v>132</v>
      </c>
      <c r="L69" s="2" t="s">
        <v>222</v>
      </c>
    </row>
    <row r="70" spans="1:12" x14ac:dyDescent="0.25">
      <c r="A70" t="s">
        <v>353</v>
      </c>
      <c r="B70" t="s">
        <v>354</v>
      </c>
      <c r="C70" t="s">
        <v>20</v>
      </c>
      <c r="D70" t="s">
        <v>355</v>
      </c>
      <c r="E70" t="s">
        <v>18</v>
      </c>
      <c r="F70" t="s">
        <v>168</v>
      </c>
      <c r="G70" t="s">
        <v>173</v>
      </c>
      <c r="H70" t="s">
        <v>169</v>
      </c>
      <c r="I70" t="s">
        <v>179</v>
      </c>
      <c r="J70" t="s">
        <v>166</v>
      </c>
      <c r="K70" t="s">
        <v>21</v>
      </c>
      <c r="L70" t="s">
        <v>173</v>
      </c>
    </row>
    <row r="71" spans="1:12" x14ac:dyDescent="0.25">
      <c r="A71" s="2" t="s">
        <v>356</v>
      </c>
      <c r="B71" s="2" t="s">
        <v>357</v>
      </c>
      <c r="C71" s="2" t="s">
        <v>20</v>
      </c>
      <c r="D71" s="2" t="s">
        <v>355</v>
      </c>
      <c r="E71" s="2" t="s">
        <v>24</v>
      </c>
      <c r="F71" s="2" t="s">
        <v>168</v>
      </c>
      <c r="G71" s="2" t="s">
        <v>173</v>
      </c>
      <c r="H71" s="2" t="s">
        <v>169</v>
      </c>
      <c r="I71" s="2" t="s">
        <v>179</v>
      </c>
      <c r="J71" s="2" t="s">
        <v>166</v>
      </c>
      <c r="K71" s="2" t="s">
        <v>25</v>
      </c>
      <c r="L71" s="2" t="s">
        <v>173</v>
      </c>
    </row>
    <row r="72" spans="1:12" x14ac:dyDescent="0.25">
      <c r="A72" t="s">
        <v>358</v>
      </c>
      <c r="B72" t="s">
        <v>359</v>
      </c>
      <c r="C72" t="s">
        <v>72</v>
      </c>
      <c r="D72" t="s">
        <v>360</v>
      </c>
      <c r="E72" t="s">
        <v>18</v>
      </c>
      <c r="F72" t="s">
        <v>177</v>
      </c>
      <c r="G72" t="s">
        <v>176</v>
      </c>
      <c r="H72" t="s">
        <v>169</v>
      </c>
      <c r="I72" t="s">
        <v>171</v>
      </c>
      <c r="J72" t="s">
        <v>166</v>
      </c>
      <c r="K72" t="s">
        <v>73</v>
      </c>
      <c r="L72" t="s">
        <v>202</v>
      </c>
    </row>
    <row r="73" spans="1:12" x14ac:dyDescent="0.25">
      <c r="A73" s="2" t="s">
        <v>361</v>
      </c>
      <c r="B73" s="2" t="s">
        <v>362</v>
      </c>
      <c r="C73" s="2" t="s">
        <v>72</v>
      </c>
      <c r="D73" s="2" t="s">
        <v>360</v>
      </c>
      <c r="E73" s="2" t="s">
        <v>18</v>
      </c>
      <c r="F73" s="2" t="s">
        <v>177</v>
      </c>
      <c r="G73" s="2" t="s">
        <v>176</v>
      </c>
      <c r="H73" s="2" t="s">
        <v>169</v>
      </c>
      <c r="I73" s="2" t="s">
        <v>171</v>
      </c>
      <c r="J73" s="2" t="s">
        <v>166</v>
      </c>
      <c r="K73" s="2" t="s">
        <v>74</v>
      </c>
      <c r="L73" s="2" t="s">
        <v>202</v>
      </c>
    </row>
    <row r="74" spans="1:12" x14ac:dyDescent="0.25">
      <c r="A74" t="s">
        <v>363</v>
      </c>
      <c r="B74" t="s">
        <v>364</v>
      </c>
      <c r="C74" t="s">
        <v>72</v>
      </c>
      <c r="D74" t="s">
        <v>360</v>
      </c>
      <c r="E74" t="s">
        <v>75</v>
      </c>
      <c r="F74" t="s">
        <v>177</v>
      </c>
      <c r="G74" t="s">
        <v>176</v>
      </c>
      <c r="H74" t="s">
        <v>169</v>
      </c>
      <c r="I74" t="s">
        <v>171</v>
      </c>
      <c r="J74" t="s">
        <v>166</v>
      </c>
      <c r="K74" t="s">
        <v>76</v>
      </c>
      <c r="L74" t="s">
        <v>202</v>
      </c>
    </row>
    <row r="75" spans="1:12" x14ac:dyDescent="0.25">
      <c r="A75" s="2" t="s">
        <v>365</v>
      </c>
      <c r="B75" s="2" t="s">
        <v>365</v>
      </c>
      <c r="C75" s="2" t="s">
        <v>72</v>
      </c>
      <c r="D75" s="2" t="s">
        <v>360</v>
      </c>
      <c r="E75" s="2" t="s">
        <v>18</v>
      </c>
      <c r="F75" s="2" t="s">
        <v>177</v>
      </c>
      <c r="G75" s="2" t="s">
        <v>176</v>
      </c>
      <c r="H75" s="2" t="s">
        <v>169</v>
      </c>
      <c r="I75" s="2" t="s">
        <v>171</v>
      </c>
      <c r="J75" s="2" t="s">
        <v>166</v>
      </c>
      <c r="K75" s="2" t="s">
        <v>34</v>
      </c>
      <c r="L75" s="2" t="s">
        <v>202</v>
      </c>
    </row>
    <row r="76" spans="1:12" x14ac:dyDescent="0.25">
      <c r="A76" t="s">
        <v>366</v>
      </c>
      <c r="B76" t="s">
        <v>367</v>
      </c>
      <c r="C76" t="s">
        <v>72</v>
      </c>
      <c r="D76" t="s">
        <v>360</v>
      </c>
      <c r="E76" t="s">
        <v>18</v>
      </c>
      <c r="F76" t="s">
        <v>187</v>
      </c>
      <c r="G76" t="s">
        <v>176</v>
      </c>
      <c r="H76" t="s">
        <v>169</v>
      </c>
      <c r="I76" t="s">
        <v>171</v>
      </c>
      <c r="J76" t="s">
        <v>166</v>
      </c>
      <c r="K76" t="s">
        <v>77</v>
      </c>
      <c r="L76" t="s">
        <v>202</v>
      </c>
    </row>
    <row r="77" spans="1:12" x14ac:dyDescent="0.25">
      <c r="A77" s="2" t="s">
        <v>368</v>
      </c>
      <c r="B77" s="2" t="s">
        <v>369</v>
      </c>
      <c r="C77" s="2" t="s">
        <v>72</v>
      </c>
      <c r="D77" s="2" t="s">
        <v>360</v>
      </c>
      <c r="E77" s="2" t="s">
        <v>18</v>
      </c>
      <c r="F77" s="2" t="s">
        <v>177</v>
      </c>
      <c r="G77" s="2" t="s">
        <v>176</v>
      </c>
      <c r="H77" s="2" t="s">
        <v>169</v>
      </c>
      <c r="I77" s="2" t="s">
        <v>171</v>
      </c>
      <c r="J77" s="2" t="s">
        <v>166</v>
      </c>
      <c r="K77" s="2" t="s">
        <v>78</v>
      </c>
      <c r="L77" s="2" t="s">
        <v>202</v>
      </c>
    </row>
    <row r="78" spans="1:12" x14ac:dyDescent="0.25">
      <c r="A78" t="s">
        <v>370</v>
      </c>
      <c r="B78" t="s">
        <v>371</v>
      </c>
      <c r="C78" t="s">
        <v>72</v>
      </c>
      <c r="D78" t="s">
        <v>360</v>
      </c>
      <c r="E78" t="s">
        <v>18</v>
      </c>
      <c r="F78" t="s">
        <v>177</v>
      </c>
      <c r="G78" t="s">
        <v>176</v>
      </c>
      <c r="H78" t="s">
        <v>169</v>
      </c>
      <c r="I78" t="s">
        <v>171</v>
      </c>
      <c r="J78" t="s">
        <v>166</v>
      </c>
      <c r="K78" t="s">
        <v>79</v>
      </c>
      <c r="L78" t="s">
        <v>202</v>
      </c>
    </row>
    <row r="79" spans="1:12" x14ac:dyDescent="0.25">
      <c r="A79" s="2" t="s">
        <v>372</v>
      </c>
      <c r="B79" s="2" t="s">
        <v>372</v>
      </c>
      <c r="C79" s="2" t="s">
        <v>81</v>
      </c>
      <c r="D79" s="2" t="s">
        <v>373</v>
      </c>
      <c r="E79" s="2" t="s">
        <v>18</v>
      </c>
      <c r="F79" s="2" t="s">
        <v>177</v>
      </c>
      <c r="G79" s="2" t="s">
        <v>176</v>
      </c>
      <c r="H79" s="2" t="s">
        <v>169</v>
      </c>
      <c r="I79" s="2" t="s">
        <v>171</v>
      </c>
      <c r="J79" s="2" t="s">
        <v>166</v>
      </c>
      <c r="K79" s="2" t="s">
        <v>34</v>
      </c>
      <c r="L79" s="2" t="s">
        <v>202</v>
      </c>
    </row>
    <row r="80" spans="1:12" x14ac:dyDescent="0.25">
      <c r="A80" t="s">
        <v>374</v>
      </c>
      <c r="B80" t="s">
        <v>374</v>
      </c>
      <c r="C80" t="s">
        <v>81</v>
      </c>
      <c r="D80" t="s">
        <v>373</v>
      </c>
      <c r="E80" t="s">
        <v>18</v>
      </c>
      <c r="F80" t="s">
        <v>177</v>
      </c>
      <c r="G80" t="s">
        <v>176</v>
      </c>
      <c r="H80" t="s">
        <v>169</v>
      </c>
      <c r="I80" t="s">
        <v>171</v>
      </c>
      <c r="J80" t="s">
        <v>166</v>
      </c>
      <c r="K80" t="s">
        <v>34</v>
      </c>
      <c r="L80" t="s">
        <v>202</v>
      </c>
    </row>
    <row r="81" spans="1:12" x14ac:dyDescent="0.25">
      <c r="A81" s="2" t="s">
        <v>375</v>
      </c>
      <c r="B81" s="2" t="s">
        <v>375</v>
      </c>
      <c r="C81" s="2" t="s">
        <v>81</v>
      </c>
      <c r="D81" s="2" t="s">
        <v>373</v>
      </c>
      <c r="E81" s="2" t="s">
        <v>18</v>
      </c>
      <c r="F81" s="2" t="s">
        <v>177</v>
      </c>
      <c r="G81" s="2" t="s">
        <v>176</v>
      </c>
      <c r="H81" s="2" t="s">
        <v>169</v>
      </c>
      <c r="I81" s="2" t="s">
        <v>171</v>
      </c>
      <c r="J81" s="2" t="s">
        <v>166</v>
      </c>
      <c r="K81" s="2" t="s">
        <v>34</v>
      </c>
      <c r="L81" s="2" t="s">
        <v>202</v>
      </c>
    </row>
    <row r="82" spans="1:12" x14ac:dyDescent="0.25">
      <c r="A82" t="s">
        <v>376</v>
      </c>
      <c r="B82" t="s">
        <v>377</v>
      </c>
      <c r="C82" t="s">
        <v>43</v>
      </c>
      <c r="D82" t="s">
        <v>378</v>
      </c>
      <c r="E82" t="s">
        <v>18</v>
      </c>
      <c r="F82" t="s">
        <v>177</v>
      </c>
      <c r="G82" t="s">
        <v>175</v>
      </c>
      <c r="H82" t="s">
        <v>169</v>
      </c>
      <c r="I82" t="s">
        <v>171</v>
      </c>
      <c r="J82" t="s">
        <v>166</v>
      </c>
      <c r="K82" t="s">
        <v>104</v>
      </c>
      <c r="L82" t="s">
        <v>222</v>
      </c>
    </row>
    <row r="83" spans="1:12" x14ac:dyDescent="0.25">
      <c r="A83" s="2" t="s">
        <v>379</v>
      </c>
      <c r="B83" s="2" t="s">
        <v>380</v>
      </c>
      <c r="C83" s="2" t="s">
        <v>43</v>
      </c>
      <c r="D83" s="2" t="s">
        <v>378</v>
      </c>
      <c r="E83" s="2" t="s">
        <v>18</v>
      </c>
      <c r="F83" s="2" t="s">
        <v>177</v>
      </c>
      <c r="G83" s="2" t="s">
        <v>175</v>
      </c>
      <c r="H83" s="2" t="s">
        <v>169</v>
      </c>
      <c r="I83" s="2" t="s">
        <v>171</v>
      </c>
      <c r="J83" s="2" t="s">
        <v>166</v>
      </c>
      <c r="K83" s="2" t="s">
        <v>44</v>
      </c>
      <c r="L83" s="2" t="s">
        <v>222</v>
      </c>
    </row>
    <row r="84" spans="1:12" x14ac:dyDescent="0.25">
      <c r="A84" t="s">
        <v>381</v>
      </c>
      <c r="B84" t="s">
        <v>381</v>
      </c>
      <c r="C84" t="s">
        <v>90</v>
      </c>
      <c r="D84" t="s">
        <v>382</v>
      </c>
      <c r="E84" t="s">
        <v>18</v>
      </c>
      <c r="F84" t="s">
        <v>177</v>
      </c>
      <c r="G84" t="s">
        <v>176</v>
      </c>
      <c r="H84" t="s">
        <v>169</v>
      </c>
      <c r="I84" t="s">
        <v>171</v>
      </c>
      <c r="J84" t="s">
        <v>166</v>
      </c>
      <c r="K84" t="s">
        <v>34</v>
      </c>
      <c r="L84" t="s">
        <v>202</v>
      </c>
    </row>
    <row r="85" spans="1:12" x14ac:dyDescent="0.25">
      <c r="A85" s="2" t="s">
        <v>383</v>
      </c>
      <c r="B85" s="2" t="s">
        <v>384</v>
      </c>
      <c r="C85" s="2" t="s">
        <v>28</v>
      </c>
      <c r="D85" s="2" t="s">
        <v>231</v>
      </c>
      <c r="E85" s="2" t="s">
        <v>18</v>
      </c>
      <c r="F85" s="2" t="s">
        <v>177</v>
      </c>
      <c r="G85" s="2" t="s">
        <v>173</v>
      </c>
      <c r="H85" s="2" t="s">
        <v>169</v>
      </c>
      <c r="I85" s="2" t="s">
        <v>183</v>
      </c>
      <c r="J85" s="2" t="s">
        <v>166</v>
      </c>
      <c r="K85" s="2" t="s">
        <v>102</v>
      </c>
      <c r="L85" s="2" t="s">
        <v>173</v>
      </c>
    </row>
    <row r="86" spans="1:12" x14ac:dyDescent="0.25">
      <c r="A86" t="s">
        <v>385</v>
      </c>
      <c r="B86" t="s">
        <v>385</v>
      </c>
      <c r="C86" t="s">
        <v>28</v>
      </c>
      <c r="D86" t="s">
        <v>231</v>
      </c>
      <c r="E86" t="s">
        <v>18</v>
      </c>
      <c r="F86" t="s">
        <v>177</v>
      </c>
      <c r="G86" t="s">
        <v>173</v>
      </c>
      <c r="H86" t="s">
        <v>169</v>
      </c>
      <c r="I86" t="s">
        <v>183</v>
      </c>
      <c r="J86" t="s">
        <v>166</v>
      </c>
      <c r="K86" t="s">
        <v>34</v>
      </c>
      <c r="L86" t="s">
        <v>173</v>
      </c>
    </row>
    <row r="87" spans="1:12" x14ac:dyDescent="0.25">
      <c r="A87" s="2" t="s">
        <v>386</v>
      </c>
      <c r="B87" s="2" t="s">
        <v>387</v>
      </c>
      <c r="C87" s="2" t="s">
        <v>72</v>
      </c>
      <c r="D87" s="2" t="s">
        <v>360</v>
      </c>
      <c r="E87" s="2" t="s">
        <v>18</v>
      </c>
      <c r="F87" s="2" t="s">
        <v>187</v>
      </c>
      <c r="G87" s="2" t="s">
        <v>176</v>
      </c>
      <c r="H87" s="2" t="s">
        <v>169</v>
      </c>
      <c r="I87" s="2" t="s">
        <v>171</v>
      </c>
      <c r="J87" s="2" t="s">
        <v>166</v>
      </c>
      <c r="K87" s="2" t="s">
        <v>80</v>
      </c>
      <c r="L87" s="2" t="s">
        <v>202</v>
      </c>
    </row>
    <row r="88" spans="1:12" x14ac:dyDescent="0.25">
      <c r="A88" t="s">
        <v>388</v>
      </c>
      <c r="B88" t="s">
        <v>388</v>
      </c>
      <c r="C88" t="s">
        <v>28</v>
      </c>
      <c r="D88" t="s">
        <v>231</v>
      </c>
      <c r="E88" t="s">
        <v>18</v>
      </c>
      <c r="F88" t="s">
        <v>177</v>
      </c>
      <c r="G88" t="s">
        <v>176</v>
      </c>
      <c r="H88" t="s">
        <v>169</v>
      </c>
      <c r="I88" t="s">
        <v>183</v>
      </c>
      <c r="J88" t="s">
        <v>166</v>
      </c>
      <c r="K88" t="s">
        <v>34</v>
      </c>
      <c r="L88" t="s">
        <v>202</v>
      </c>
    </row>
    <row r="89" spans="1:12" x14ac:dyDescent="0.25">
      <c r="A89" s="2" t="s">
        <v>389</v>
      </c>
      <c r="B89" s="2" t="s">
        <v>389</v>
      </c>
      <c r="C89" s="2" t="s">
        <v>41</v>
      </c>
      <c r="D89" s="2" t="s">
        <v>278</v>
      </c>
      <c r="E89" s="2" t="s">
        <v>18</v>
      </c>
      <c r="F89" s="2" t="s">
        <v>177</v>
      </c>
      <c r="G89" s="2" t="s">
        <v>175</v>
      </c>
      <c r="H89" s="2" t="s">
        <v>169</v>
      </c>
      <c r="I89" s="2" t="s">
        <v>183</v>
      </c>
      <c r="J89" s="2" t="s">
        <v>166</v>
      </c>
      <c r="K89" s="2" t="s">
        <v>34</v>
      </c>
      <c r="L89" s="2" t="s">
        <v>222</v>
      </c>
    </row>
    <row r="90" spans="1:12" x14ac:dyDescent="0.25">
      <c r="A90" t="s">
        <v>390</v>
      </c>
      <c r="B90" t="s">
        <v>390</v>
      </c>
      <c r="C90" t="s">
        <v>32</v>
      </c>
      <c r="D90" t="s">
        <v>257</v>
      </c>
      <c r="E90" t="s">
        <v>18</v>
      </c>
      <c r="F90" t="s">
        <v>177</v>
      </c>
      <c r="G90" t="s">
        <v>173</v>
      </c>
      <c r="H90" t="s">
        <v>169</v>
      </c>
      <c r="I90" t="s">
        <v>171</v>
      </c>
      <c r="J90" t="s">
        <v>166</v>
      </c>
      <c r="K90" t="s">
        <v>34</v>
      </c>
      <c r="L90" t="s">
        <v>173</v>
      </c>
    </row>
    <row r="91" spans="1:12" x14ac:dyDescent="0.25">
      <c r="A91" s="2" t="s">
        <v>391</v>
      </c>
      <c r="B91" s="2" t="s">
        <v>391</v>
      </c>
      <c r="C91" s="2" t="s">
        <v>32</v>
      </c>
      <c r="D91" s="2" t="s">
        <v>257</v>
      </c>
      <c r="E91" s="2" t="s">
        <v>18</v>
      </c>
      <c r="F91" s="2" t="s">
        <v>177</v>
      </c>
      <c r="G91" s="2" t="s">
        <v>175</v>
      </c>
      <c r="H91" s="2" t="s">
        <v>169</v>
      </c>
      <c r="I91" s="2" t="s">
        <v>171</v>
      </c>
      <c r="J91" s="2" t="s">
        <v>166</v>
      </c>
      <c r="K91" s="2" t="s">
        <v>34</v>
      </c>
      <c r="L91" s="2" t="s">
        <v>222</v>
      </c>
    </row>
    <row r="92" spans="1:12" x14ac:dyDescent="0.25">
      <c r="A92" t="s">
        <v>392</v>
      </c>
      <c r="B92" t="s">
        <v>393</v>
      </c>
      <c r="C92" t="s">
        <v>53</v>
      </c>
      <c r="D92" t="s">
        <v>205</v>
      </c>
      <c r="E92" t="s">
        <v>24</v>
      </c>
      <c r="F92" t="s">
        <v>177</v>
      </c>
      <c r="G92" t="s">
        <v>176</v>
      </c>
      <c r="H92" t="s">
        <v>169</v>
      </c>
      <c r="I92" t="s">
        <v>179</v>
      </c>
      <c r="J92" t="s">
        <v>166</v>
      </c>
      <c r="K92" t="s">
        <v>126</v>
      </c>
      <c r="L92" t="s">
        <v>202</v>
      </c>
    </row>
    <row r="93" spans="1:12" x14ac:dyDescent="0.25">
      <c r="A93" s="2" t="s">
        <v>394</v>
      </c>
      <c r="B93" s="2" t="s">
        <v>394</v>
      </c>
      <c r="C93" s="2" t="s">
        <v>28</v>
      </c>
      <c r="D93" s="2" t="s">
        <v>395</v>
      </c>
      <c r="E93" s="2" t="s">
        <v>18</v>
      </c>
      <c r="F93" s="2" t="s">
        <v>177</v>
      </c>
      <c r="G93" s="2" t="s">
        <v>175</v>
      </c>
      <c r="H93" s="2" t="s">
        <v>185</v>
      </c>
      <c r="I93" s="2" t="s">
        <v>171</v>
      </c>
      <c r="J93" s="2" t="s">
        <v>166</v>
      </c>
      <c r="K93" s="2" t="s">
        <v>34</v>
      </c>
      <c r="L93" s="2" t="s">
        <v>222</v>
      </c>
    </row>
    <row r="94" spans="1:12" x14ac:dyDescent="0.25">
      <c r="A94" t="s">
        <v>396</v>
      </c>
      <c r="B94" t="s">
        <v>396</v>
      </c>
      <c r="C94" t="s">
        <v>57</v>
      </c>
      <c r="D94" t="s">
        <v>273</v>
      </c>
      <c r="E94" t="s">
        <v>18</v>
      </c>
      <c r="F94" t="s">
        <v>177</v>
      </c>
      <c r="G94" t="s">
        <v>173</v>
      </c>
      <c r="H94" t="s">
        <v>185</v>
      </c>
      <c r="I94" t="s">
        <v>171</v>
      </c>
      <c r="J94" t="s">
        <v>166</v>
      </c>
      <c r="K94" t="s">
        <v>34</v>
      </c>
      <c r="L94" t="s">
        <v>173</v>
      </c>
    </row>
    <row r="95" spans="1:12" x14ac:dyDescent="0.25">
      <c r="A95" s="2" t="s">
        <v>397</v>
      </c>
      <c r="B95" s="2" t="s">
        <v>398</v>
      </c>
      <c r="C95" s="2" t="s">
        <v>53</v>
      </c>
      <c r="D95" s="2" t="s">
        <v>205</v>
      </c>
      <c r="E95" s="2" t="s">
        <v>24</v>
      </c>
      <c r="F95" s="2" t="s">
        <v>177</v>
      </c>
      <c r="G95" s="2" t="s">
        <v>176</v>
      </c>
      <c r="H95" s="2" t="s">
        <v>169</v>
      </c>
      <c r="I95" s="2" t="s">
        <v>179</v>
      </c>
      <c r="J95" s="2" t="s">
        <v>166</v>
      </c>
      <c r="K95" s="2" t="s">
        <v>107</v>
      </c>
      <c r="L95" s="2" t="s">
        <v>202</v>
      </c>
    </row>
    <row r="96" spans="1:12" x14ac:dyDescent="0.25">
      <c r="A96" t="s">
        <v>399</v>
      </c>
      <c r="B96" t="s">
        <v>400</v>
      </c>
      <c r="C96" t="s">
        <v>36</v>
      </c>
      <c r="D96" t="s">
        <v>401</v>
      </c>
      <c r="E96" t="s">
        <v>18</v>
      </c>
      <c r="F96" t="s">
        <v>168</v>
      </c>
      <c r="G96" t="s">
        <v>175</v>
      </c>
      <c r="H96" t="s">
        <v>169</v>
      </c>
      <c r="I96" t="s">
        <v>171</v>
      </c>
      <c r="J96" t="s">
        <v>166</v>
      </c>
      <c r="K96" t="s">
        <v>37</v>
      </c>
      <c r="L96" t="s">
        <v>222</v>
      </c>
    </row>
    <row r="97" spans="1:12" x14ac:dyDescent="0.25">
      <c r="A97" s="2" t="s">
        <v>402</v>
      </c>
      <c r="B97" s="2" t="s">
        <v>403</v>
      </c>
      <c r="C97" s="2" t="s">
        <v>36</v>
      </c>
      <c r="D97" s="2" t="s">
        <v>401</v>
      </c>
      <c r="E97" s="2" t="s">
        <v>18</v>
      </c>
      <c r="F97" s="2" t="s">
        <v>168</v>
      </c>
      <c r="G97" s="2" t="s">
        <v>173</v>
      </c>
      <c r="H97" s="2" t="s">
        <v>169</v>
      </c>
      <c r="I97" s="2" t="s">
        <v>171</v>
      </c>
      <c r="J97" s="2" t="s">
        <v>166</v>
      </c>
      <c r="K97" s="2" t="s">
        <v>71</v>
      </c>
      <c r="L97" s="2" t="s">
        <v>173</v>
      </c>
    </row>
    <row r="98" spans="1:12" x14ac:dyDescent="0.25">
      <c r="A98" t="s">
        <v>404</v>
      </c>
      <c r="B98" t="s">
        <v>405</v>
      </c>
      <c r="C98" t="s">
        <v>36</v>
      </c>
      <c r="D98" t="s">
        <v>401</v>
      </c>
      <c r="E98" t="s">
        <v>18</v>
      </c>
      <c r="F98" t="s">
        <v>177</v>
      </c>
      <c r="G98" t="s">
        <v>176</v>
      </c>
      <c r="H98" t="s">
        <v>169</v>
      </c>
      <c r="I98" t="s">
        <v>171</v>
      </c>
      <c r="J98" t="s">
        <v>166</v>
      </c>
      <c r="K98" t="s">
        <v>116</v>
      </c>
      <c r="L98" t="s">
        <v>202</v>
      </c>
    </row>
    <row r="99" spans="1:12" x14ac:dyDescent="0.25">
      <c r="A99" s="2" t="s">
        <v>406</v>
      </c>
      <c r="B99" s="2" t="s">
        <v>406</v>
      </c>
      <c r="C99" s="2" t="s">
        <v>28</v>
      </c>
      <c r="D99" s="2" t="s">
        <v>231</v>
      </c>
      <c r="E99" s="2" t="s">
        <v>18</v>
      </c>
      <c r="F99" s="2" t="s">
        <v>177</v>
      </c>
      <c r="G99" s="2" t="s">
        <v>176</v>
      </c>
      <c r="H99" s="2" t="s">
        <v>169</v>
      </c>
      <c r="I99" s="2" t="s">
        <v>183</v>
      </c>
      <c r="J99" s="2" t="s">
        <v>166</v>
      </c>
      <c r="K99" s="2" t="s">
        <v>34</v>
      </c>
      <c r="L99" s="2" t="s">
        <v>202</v>
      </c>
    </row>
    <row r="100" spans="1:12" x14ac:dyDescent="0.25">
      <c r="A100" t="s">
        <v>407</v>
      </c>
      <c r="B100" t="s">
        <v>407</v>
      </c>
      <c r="C100" t="s">
        <v>41</v>
      </c>
      <c r="D100" t="s">
        <v>278</v>
      </c>
      <c r="E100" t="s">
        <v>18</v>
      </c>
      <c r="F100" t="s">
        <v>177</v>
      </c>
      <c r="G100" t="s">
        <v>175</v>
      </c>
      <c r="H100" t="s">
        <v>169</v>
      </c>
      <c r="I100" t="s">
        <v>183</v>
      </c>
      <c r="J100" t="s">
        <v>166</v>
      </c>
      <c r="K100" t="s">
        <v>34</v>
      </c>
      <c r="L100" t="s">
        <v>222</v>
      </c>
    </row>
    <row r="101" spans="1:12" x14ac:dyDescent="0.25">
      <c r="A101" s="2" t="s">
        <v>408</v>
      </c>
      <c r="B101" s="2" t="s">
        <v>409</v>
      </c>
      <c r="C101" s="2" t="s">
        <v>47</v>
      </c>
      <c r="D101" s="2" t="s">
        <v>252</v>
      </c>
      <c r="E101" s="2" t="s">
        <v>18</v>
      </c>
      <c r="F101" s="2" t="s">
        <v>177</v>
      </c>
      <c r="G101" s="2" t="s">
        <v>173</v>
      </c>
      <c r="H101" s="2" t="s">
        <v>169</v>
      </c>
      <c r="I101" s="2" t="s">
        <v>183</v>
      </c>
      <c r="J101" s="2" t="s">
        <v>166</v>
      </c>
      <c r="K101" s="2" t="s">
        <v>62</v>
      </c>
      <c r="L101" s="2" t="s">
        <v>173</v>
      </c>
    </row>
    <row r="102" spans="1:12" x14ac:dyDescent="0.25">
      <c r="A102" t="s">
        <v>410</v>
      </c>
      <c r="B102" t="s">
        <v>411</v>
      </c>
      <c r="C102" t="s">
        <v>39</v>
      </c>
      <c r="D102" t="s">
        <v>317</v>
      </c>
      <c r="E102" t="s">
        <v>18</v>
      </c>
      <c r="F102" t="s">
        <v>168</v>
      </c>
      <c r="G102" t="s">
        <v>176</v>
      </c>
      <c r="H102" t="s">
        <v>169</v>
      </c>
      <c r="I102" t="s">
        <v>171</v>
      </c>
      <c r="J102" t="s">
        <v>166</v>
      </c>
      <c r="K102" t="s">
        <v>84</v>
      </c>
      <c r="L102" t="s">
        <v>202</v>
      </c>
    </row>
    <row r="103" spans="1:12" x14ac:dyDescent="0.25">
      <c r="A103" s="2" t="s">
        <v>412</v>
      </c>
      <c r="B103" s="2" t="s">
        <v>413</v>
      </c>
      <c r="C103" s="2" t="s">
        <v>57</v>
      </c>
      <c r="D103" s="2" t="s">
        <v>273</v>
      </c>
      <c r="E103" s="2" t="s">
        <v>18</v>
      </c>
      <c r="F103" s="2" t="s">
        <v>177</v>
      </c>
      <c r="G103" s="2" t="s">
        <v>176</v>
      </c>
      <c r="H103" s="2" t="s">
        <v>185</v>
      </c>
      <c r="I103" s="2" t="s">
        <v>171</v>
      </c>
      <c r="J103" s="2" t="s">
        <v>166</v>
      </c>
      <c r="K103" s="2" t="s">
        <v>58</v>
      </c>
      <c r="L103" s="2" t="s">
        <v>202</v>
      </c>
    </row>
    <row r="104" spans="1:12" x14ac:dyDescent="0.25">
      <c r="A104" t="s">
        <v>414</v>
      </c>
      <c r="B104" t="s">
        <v>414</v>
      </c>
      <c r="C104" t="s">
        <v>45</v>
      </c>
      <c r="D104" t="s">
        <v>201</v>
      </c>
      <c r="E104" t="s">
        <v>18</v>
      </c>
      <c r="F104" t="s">
        <v>187</v>
      </c>
      <c r="G104" t="s">
        <v>176</v>
      </c>
      <c r="H104" t="s">
        <v>169</v>
      </c>
      <c r="I104" t="s">
        <v>171</v>
      </c>
      <c r="J104" t="s">
        <v>166</v>
      </c>
      <c r="K104" t="s">
        <v>34</v>
      </c>
      <c r="L104" t="s">
        <v>202</v>
      </c>
    </row>
    <row r="105" spans="1:12" x14ac:dyDescent="0.25">
      <c r="A105" s="2" t="s">
        <v>415</v>
      </c>
      <c r="B105" s="2" t="s">
        <v>416</v>
      </c>
      <c r="C105" s="2" t="s">
        <v>45</v>
      </c>
      <c r="D105" s="2" t="s">
        <v>201</v>
      </c>
      <c r="E105" s="2" t="s">
        <v>18</v>
      </c>
      <c r="F105" s="2" t="s">
        <v>168</v>
      </c>
      <c r="G105" s="2" t="s">
        <v>176</v>
      </c>
      <c r="H105" s="2" t="s">
        <v>169</v>
      </c>
      <c r="I105" s="2" t="s">
        <v>171</v>
      </c>
      <c r="J105" s="2" t="s">
        <v>166</v>
      </c>
      <c r="K105" s="2" t="s">
        <v>95</v>
      </c>
      <c r="L105" s="2" t="s">
        <v>202</v>
      </c>
    </row>
    <row r="106" spans="1:12" x14ac:dyDescent="0.25">
      <c r="A106" t="s">
        <v>417</v>
      </c>
      <c r="B106" t="s">
        <v>417</v>
      </c>
      <c r="C106" t="s">
        <v>45</v>
      </c>
      <c r="D106" t="s">
        <v>201</v>
      </c>
      <c r="E106" t="s">
        <v>18</v>
      </c>
      <c r="F106" t="s">
        <v>177</v>
      </c>
      <c r="G106" t="s">
        <v>173</v>
      </c>
      <c r="H106" t="s">
        <v>169</v>
      </c>
      <c r="I106" t="s">
        <v>171</v>
      </c>
      <c r="J106" t="s">
        <v>166</v>
      </c>
      <c r="K106" t="s">
        <v>34</v>
      </c>
      <c r="L106" t="s">
        <v>173</v>
      </c>
    </row>
    <row r="107" spans="1:12" x14ac:dyDescent="0.25">
      <c r="A107" s="2" t="s">
        <v>418</v>
      </c>
      <c r="B107" s="2" t="s">
        <v>418</v>
      </c>
      <c r="C107" s="2" t="s">
        <v>45</v>
      </c>
      <c r="D107" s="2" t="s">
        <v>201</v>
      </c>
      <c r="E107" s="2" t="s">
        <v>18</v>
      </c>
      <c r="F107" s="2" t="s">
        <v>177</v>
      </c>
      <c r="G107" s="2" t="s">
        <v>173</v>
      </c>
      <c r="H107" s="2" t="s">
        <v>169</v>
      </c>
      <c r="I107" s="2" t="s">
        <v>171</v>
      </c>
      <c r="J107" s="2" t="s">
        <v>166</v>
      </c>
      <c r="K107" s="2" t="s">
        <v>34</v>
      </c>
      <c r="L107" s="2" t="s">
        <v>173</v>
      </c>
    </row>
    <row r="108" spans="1:12" x14ac:dyDescent="0.25">
      <c r="A108" t="s">
        <v>419</v>
      </c>
      <c r="B108" t="s">
        <v>420</v>
      </c>
      <c r="C108" t="s">
        <v>20</v>
      </c>
      <c r="D108" t="s">
        <v>355</v>
      </c>
      <c r="E108" t="s">
        <v>18</v>
      </c>
      <c r="F108" t="s">
        <v>177</v>
      </c>
      <c r="G108" t="s">
        <v>176</v>
      </c>
      <c r="H108" t="s">
        <v>169</v>
      </c>
      <c r="I108" t="s">
        <v>179</v>
      </c>
      <c r="J108" t="s">
        <v>166</v>
      </c>
      <c r="K108" t="s">
        <v>115</v>
      </c>
      <c r="L108" t="s">
        <v>202</v>
      </c>
    </row>
    <row r="109" spans="1:12" x14ac:dyDescent="0.25">
      <c r="A109" s="2" t="s">
        <v>421</v>
      </c>
      <c r="B109" s="2" t="s">
        <v>421</v>
      </c>
      <c r="C109" s="2" t="s">
        <v>45</v>
      </c>
      <c r="D109" s="2" t="s">
        <v>201</v>
      </c>
      <c r="E109" s="2" t="s">
        <v>18</v>
      </c>
      <c r="F109" s="2" t="s">
        <v>177</v>
      </c>
      <c r="G109" s="2" t="s">
        <v>176</v>
      </c>
      <c r="H109" s="2" t="s">
        <v>169</v>
      </c>
      <c r="I109" s="2" t="s">
        <v>171</v>
      </c>
      <c r="J109" s="2" t="s">
        <v>166</v>
      </c>
      <c r="K109" s="2" t="s">
        <v>34</v>
      </c>
      <c r="L109" s="2" t="s">
        <v>202</v>
      </c>
    </row>
    <row r="110" spans="1:12" x14ac:dyDescent="0.25">
      <c r="A110" t="s">
        <v>422</v>
      </c>
      <c r="B110" t="s">
        <v>422</v>
      </c>
      <c r="C110" t="s">
        <v>45</v>
      </c>
      <c r="D110" t="s">
        <v>201</v>
      </c>
      <c r="E110" t="s">
        <v>18</v>
      </c>
      <c r="F110" t="s">
        <v>177</v>
      </c>
      <c r="G110" t="s">
        <v>176</v>
      </c>
      <c r="H110" t="s">
        <v>169</v>
      </c>
      <c r="I110" t="s">
        <v>171</v>
      </c>
      <c r="J110" t="s">
        <v>166</v>
      </c>
      <c r="K110" t="s">
        <v>34</v>
      </c>
      <c r="L110" t="s">
        <v>202</v>
      </c>
    </row>
    <row r="111" spans="1:12" x14ac:dyDescent="0.25">
      <c r="A111" s="2" t="s">
        <v>423</v>
      </c>
      <c r="B111" s="2" t="s">
        <v>424</v>
      </c>
      <c r="C111" s="2" t="s">
        <v>57</v>
      </c>
      <c r="D111" s="2" t="s">
        <v>273</v>
      </c>
      <c r="E111" s="2" t="s">
        <v>18</v>
      </c>
      <c r="F111" s="2" t="s">
        <v>177</v>
      </c>
      <c r="G111" s="2" t="s">
        <v>173</v>
      </c>
      <c r="H111" s="2" t="s">
        <v>185</v>
      </c>
      <c r="I111" s="2" t="s">
        <v>171</v>
      </c>
      <c r="J111" s="2" t="s">
        <v>166</v>
      </c>
      <c r="K111" s="2" t="s">
        <v>69</v>
      </c>
      <c r="L111" s="2" t="s">
        <v>173</v>
      </c>
    </row>
    <row r="112" spans="1:12" x14ac:dyDescent="0.25">
      <c r="A112" t="s">
        <v>425</v>
      </c>
      <c r="B112" t="s">
        <v>426</v>
      </c>
      <c r="C112" t="s">
        <v>57</v>
      </c>
      <c r="D112" t="s">
        <v>273</v>
      </c>
      <c r="E112" t="s">
        <v>18</v>
      </c>
      <c r="F112" t="s">
        <v>177</v>
      </c>
      <c r="G112" t="s">
        <v>173</v>
      </c>
      <c r="H112" t="s">
        <v>185</v>
      </c>
      <c r="I112" t="s">
        <v>171</v>
      </c>
      <c r="J112" t="s">
        <v>166</v>
      </c>
      <c r="K112" t="s">
        <v>70</v>
      </c>
      <c r="L112" t="s">
        <v>173</v>
      </c>
    </row>
    <row r="113" spans="1:12" x14ac:dyDescent="0.25">
      <c r="A113" s="2" t="s">
        <v>427</v>
      </c>
      <c r="B113" s="2" t="s">
        <v>428</v>
      </c>
      <c r="C113" s="2" t="s">
        <v>28</v>
      </c>
      <c r="D113" s="2" t="s">
        <v>231</v>
      </c>
      <c r="E113" s="2" t="s">
        <v>18</v>
      </c>
      <c r="F113" s="2" t="s">
        <v>177</v>
      </c>
      <c r="G113" s="2" t="s">
        <v>173</v>
      </c>
      <c r="H113" s="2" t="s">
        <v>169</v>
      </c>
      <c r="I113" s="2" t="s">
        <v>183</v>
      </c>
      <c r="J113" s="2" t="s">
        <v>166</v>
      </c>
      <c r="K113" s="2" t="s">
        <v>103</v>
      </c>
      <c r="L113" s="2" t="s">
        <v>173</v>
      </c>
    </row>
    <row r="114" spans="1:12" x14ac:dyDescent="0.25">
      <c r="A114" t="s">
        <v>429</v>
      </c>
      <c r="B114" t="s">
        <v>429</v>
      </c>
      <c r="C114" t="s">
        <v>45</v>
      </c>
      <c r="D114" t="s">
        <v>201</v>
      </c>
      <c r="E114" t="s">
        <v>18</v>
      </c>
      <c r="F114" t="s">
        <v>177</v>
      </c>
      <c r="G114" t="s">
        <v>176</v>
      </c>
      <c r="H114" t="s">
        <v>169</v>
      </c>
      <c r="I114" t="s">
        <v>171</v>
      </c>
      <c r="J114" t="s">
        <v>166</v>
      </c>
      <c r="K114" t="s">
        <v>34</v>
      </c>
      <c r="L114" t="s">
        <v>202</v>
      </c>
    </row>
    <row r="115" spans="1:12" x14ac:dyDescent="0.25">
      <c r="A115" s="2" t="s">
        <v>430</v>
      </c>
      <c r="B115" s="2" t="s">
        <v>430</v>
      </c>
      <c r="C115" s="2" t="s">
        <v>45</v>
      </c>
      <c r="D115" s="2" t="s">
        <v>201</v>
      </c>
      <c r="E115" s="2" t="s">
        <v>18</v>
      </c>
      <c r="F115" s="2" t="s">
        <v>177</v>
      </c>
      <c r="G115" s="2" t="s">
        <v>176</v>
      </c>
      <c r="H115" s="2" t="s">
        <v>169</v>
      </c>
      <c r="I115" s="2" t="s">
        <v>171</v>
      </c>
      <c r="J115" s="2" t="s">
        <v>166</v>
      </c>
      <c r="K115" s="2" t="s">
        <v>34</v>
      </c>
      <c r="L115" s="2" t="s">
        <v>202</v>
      </c>
    </row>
    <row r="116" spans="1:12" x14ac:dyDescent="0.25">
      <c r="A116" t="s">
        <v>431</v>
      </c>
      <c r="B116" t="s">
        <v>431</v>
      </c>
      <c r="C116" t="s">
        <v>97</v>
      </c>
      <c r="D116" t="s">
        <v>216</v>
      </c>
      <c r="E116" t="s">
        <v>18</v>
      </c>
      <c r="F116" t="s">
        <v>177</v>
      </c>
      <c r="G116" t="s">
        <v>173</v>
      </c>
      <c r="H116" t="s">
        <v>185</v>
      </c>
      <c r="I116" t="s">
        <v>171</v>
      </c>
      <c r="J116" t="s">
        <v>166</v>
      </c>
      <c r="K116" t="s">
        <v>34</v>
      </c>
      <c r="L116" t="s">
        <v>173</v>
      </c>
    </row>
    <row r="117" spans="1:12" x14ac:dyDescent="0.25">
      <c r="A117" s="2" t="s">
        <v>432</v>
      </c>
      <c r="B117" s="2" t="s">
        <v>432</v>
      </c>
      <c r="C117" s="2" t="s">
        <v>28</v>
      </c>
      <c r="D117" s="2" t="s">
        <v>231</v>
      </c>
      <c r="E117" s="2" t="s">
        <v>18</v>
      </c>
      <c r="F117" s="2" t="s">
        <v>177</v>
      </c>
      <c r="G117" s="2" t="s">
        <v>173</v>
      </c>
      <c r="H117" s="2" t="s">
        <v>169</v>
      </c>
      <c r="I117" s="2" t="s">
        <v>183</v>
      </c>
      <c r="J117" s="2" t="s">
        <v>166</v>
      </c>
      <c r="K117" s="2" t="s">
        <v>34</v>
      </c>
      <c r="L117" s="2" t="s">
        <v>173</v>
      </c>
    </row>
    <row r="118" spans="1:12" x14ac:dyDescent="0.25">
      <c r="A118" t="s">
        <v>433</v>
      </c>
      <c r="B118" t="s">
        <v>434</v>
      </c>
      <c r="C118" t="s">
        <v>36</v>
      </c>
      <c r="D118" t="s">
        <v>401</v>
      </c>
      <c r="E118" t="s">
        <v>18</v>
      </c>
      <c r="F118" t="s">
        <v>168</v>
      </c>
      <c r="G118" t="s">
        <v>175</v>
      </c>
      <c r="H118" t="s">
        <v>169</v>
      </c>
      <c r="I118" t="s">
        <v>171</v>
      </c>
      <c r="J118" t="s">
        <v>166</v>
      </c>
      <c r="K118" t="s">
        <v>38</v>
      </c>
      <c r="L118" t="s">
        <v>222</v>
      </c>
    </row>
  </sheetData>
  <autoFilter ref="A1:L118"/>
  <dataValidations count="1">
    <dataValidation type="custom" showErrorMessage="1" errorTitle="Invalid Engineer Code" error="Engineer Code is required and must be unique." sqref="A2:A5000">
      <formula1>AND(A2&lt;&gt;"",COUNTIF($A$2:$A$5000,A2)=1)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3" customWidth="1"/>
    <col min="3" max="3" width="12" customWidth="1"/>
    <col min="4" max="4" width="22" customWidth="1"/>
    <col min="5" max="5" width="14" customWidth="1"/>
    <col min="6" max="6" width="19" customWidth="1"/>
    <col min="7" max="10" width="12" customWidth="1"/>
    <col min="11" max="11" width="19" customWidth="1"/>
    <col min="12" max="12" width="24" customWidth="1"/>
    <col min="13" max="13" width="18" customWidth="1"/>
    <col min="14" max="15" width="20" customWidth="1"/>
    <col min="16" max="16" width="12" customWidth="1"/>
    <col min="17" max="17" width="24" customWidth="1"/>
    <col min="18" max="19" width="12" customWidth="1"/>
    <col min="20" max="20" width="20" customWidth="1"/>
    <col min="21" max="22" width="12" customWidth="1"/>
    <col min="23" max="23" width="19" customWidth="1"/>
    <col min="24" max="24" width="16" customWidth="1"/>
    <col min="25" max="33" width="12" customWidth="1"/>
    <col min="34" max="34" width="16" customWidth="1"/>
    <col min="35" max="43" width="12" customWidth="1"/>
  </cols>
  <sheetData>
    <row r="1" ht="28" customHeight="1" spans="1:43" x14ac:dyDescent="0.25">
      <c r="A1" s="1" t="s">
        <v>188</v>
      </c>
      <c r="B1" s="1" t="s">
        <v>189</v>
      </c>
      <c r="C1" s="1" t="s">
        <v>190</v>
      </c>
      <c r="D1" s="1" t="s">
        <v>3</v>
      </c>
      <c r="E1" s="1" t="s">
        <v>191</v>
      </c>
      <c r="F1" s="3" t="s">
        <v>435</v>
      </c>
      <c r="G1" s="1" t="s">
        <v>436</v>
      </c>
      <c r="H1" s="1" t="s">
        <v>437</v>
      </c>
      <c r="I1" s="1" t="s">
        <v>438</v>
      </c>
      <c r="J1" s="1" t="s">
        <v>439</v>
      </c>
      <c r="K1" s="1" t="s">
        <v>440</v>
      </c>
      <c r="L1" s="1" t="s">
        <v>441</v>
      </c>
      <c r="M1" s="1" t="s">
        <v>442</v>
      </c>
      <c r="N1" s="3" t="s">
        <v>443</v>
      </c>
      <c r="O1" s="1" t="s">
        <v>444</v>
      </c>
      <c r="P1" s="1" t="s">
        <v>445</v>
      </c>
      <c r="Q1" s="1" t="s">
        <v>446</v>
      </c>
      <c r="R1" s="1" t="s">
        <v>447</v>
      </c>
      <c r="S1" s="1" t="s">
        <v>448</v>
      </c>
      <c r="T1" s="1" t="s">
        <v>449</v>
      </c>
      <c r="U1" s="1" t="s">
        <v>450</v>
      </c>
      <c r="V1" s="1" t="s">
        <v>451</v>
      </c>
      <c r="W1" s="1" t="s">
        <v>452</v>
      </c>
      <c r="X1" s="3" t="s">
        <v>453</v>
      </c>
      <c r="Y1" s="1" t="s">
        <v>454</v>
      </c>
      <c r="Z1" s="1" t="s">
        <v>455</v>
      </c>
      <c r="AA1" s="1" t="s">
        <v>456</v>
      </c>
      <c r="AB1" s="1" t="s">
        <v>457</v>
      </c>
      <c r="AC1" s="1" t="s">
        <v>458</v>
      </c>
      <c r="AD1" s="1" t="s">
        <v>459</v>
      </c>
      <c r="AE1" s="1" t="s">
        <v>460</v>
      </c>
      <c r="AF1" s="1" t="s">
        <v>461</v>
      </c>
      <c r="AG1" s="1" t="s">
        <v>462</v>
      </c>
      <c r="AH1" s="3" t="s">
        <v>463</v>
      </c>
      <c r="AI1" s="1" t="s">
        <v>464</v>
      </c>
      <c r="AJ1" s="1" t="s">
        <v>465</v>
      </c>
      <c r="AK1" s="1" t="s">
        <v>466</v>
      </c>
      <c r="AL1" s="1" t="s">
        <v>467</v>
      </c>
      <c r="AM1" s="1" t="s">
        <v>468</v>
      </c>
      <c r="AN1" s="1" t="s">
        <v>469</v>
      </c>
      <c r="AO1" s="1" t="s">
        <v>470</v>
      </c>
      <c r="AP1" s="1" t="s">
        <v>471</v>
      </c>
      <c r="AQ1" s="1" t="s">
        <v>472</v>
      </c>
    </row>
    <row r="2" spans="1:43" x14ac:dyDescent="0.25">
      <c r="A2" t="s">
        <v>196</v>
      </c>
      <c r="B2" t="s">
        <v>197</v>
      </c>
      <c r="C2" t="s">
        <v>198</v>
      </c>
      <c r="D2" t="s">
        <v>67</v>
      </c>
      <c r="E2" t="s">
        <v>18</v>
      </c>
      <c r="F2">
        <v>75</v>
      </c>
      <c r="G2">
        <v>100</v>
      </c>
      <c r="H2">
        <v>100</v>
      </c>
      <c r="I2">
        <v>0</v>
      </c>
      <c r="J2">
        <v>0</v>
      </c>
      <c r="K2">
        <v>11.1111</v>
      </c>
      <c r="M2">
        <v>100</v>
      </c>
      <c r="N2">
        <v>81.25</v>
      </c>
      <c r="O2">
        <v>100</v>
      </c>
      <c r="P2">
        <v>100</v>
      </c>
      <c r="Q2">
        <v>100</v>
      </c>
      <c r="R2">
        <v>0</v>
      </c>
      <c r="S2">
        <v>100</v>
      </c>
      <c r="T2">
        <v>100</v>
      </c>
      <c r="W2">
        <v>81.25</v>
      </c>
    </row>
    <row r="3" spans="1:43" x14ac:dyDescent="0.25">
      <c r="A3" s="2" t="s">
        <v>199</v>
      </c>
      <c r="B3" s="2" t="s">
        <v>200</v>
      </c>
      <c r="C3" s="2" t="s">
        <v>201</v>
      </c>
      <c r="D3" s="2" t="s">
        <v>45</v>
      </c>
      <c r="E3" s="2" t="s">
        <v>18</v>
      </c>
      <c r="F3" s="2">
        <v>85</v>
      </c>
      <c r="G3" s="2">
        <v>100</v>
      </c>
      <c r="H3" s="2">
        <v>100</v>
      </c>
      <c r="I3" s="2">
        <v>0</v>
      </c>
      <c r="J3" s="2">
        <v>100</v>
      </c>
      <c r="K3" s="2">
        <v>0</v>
      </c>
      <c r="L3" s="2">
        <v>50</v>
      </c>
      <c r="M3" s="2">
        <v>100</v>
      </c>
      <c r="N3" s="2">
        <v>79.375</v>
      </c>
      <c r="O3" s="2">
        <v>100</v>
      </c>
      <c r="P3" s="2">
        <v>100</v>
      </c>
      <c r="Q3" s="2">
        <v>100</v>
      </c>
      <c r="R3" s="2">
        <v>10</v>
      </c>
      <c r="S3" s="2">
        <v>100</v>
      </c>
      <c r="T3" s="2">
        <v>0</v>
      </c>
      <c r="U3" s="2"/>
      <c r="V3" s="2">
        <v>100</v>
      </c>
      <c r="W3" s="2">
        <v>64.375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x14ac:dyDescent="0.25">
      <c r="A4" t="s">
        <v>203</v>
      </c>
      <c r="B4" t="s">
        <v>204</v>
      </c>
      <c r="C4" t="s">
        <v>205</v>
      </c>
      <c r="D4" t="s">
        <v>53</v>
      </c>
      <c r="E4" t="s">
        <v>24</v>
      </c>
      <c r="F4">
        <v>75</v>
      </c>
      <c r="G4">
        <v>100</v>
      </c>
      <c r="H4">
        <v>100</v>
      </c>
      <c r="I4">
        <v>0</v>
      </c>
      <c r="J4">
        <v>100</v>
      </c>
      <c r="K4">
        <v>0</v>
      </c>
      <c r="M4">
        <v>100</v>
      </c>
      <c r="N4">
        <v>15</v>
      </c>
      <c r="O4">
        <v>0</v>
      </c>
      <c r="P4">
        <v>100</v>
      </c>
      <c r="Q4">
        <v>100</v>
      </c>
      <c r="R4">
        <v>0</v>
      </c>
      <c r="S4">
        <v>5.9735</v>
      </c>
      <c r="T4">
        <v>0</v>
      </c>
      <c r="W4">
        <v>15</v>
      </c>
    </row>
    <row r="5" spans="1:43" x14ac:dyDescent="0.25">
      <c r="A5" s="2" t="s">
        <v>206</v>
      </c>
      <c r="B5" s="2" t="s">
        <v>207</v>
      </c>
      <c r="C5" s="2" t="s">
        <v>198</v>
      </c>
      <c r="D5" s="2" t="s">
        <v>67</v>
      </c>
      <c r="E5" s="2" t="s">
        <v>18</v>
      </c>
      <c r="F5" s="2">
        <v>60</v>
      </c>
      <c r="G5" s="2">
        <v>0</v>
      </c>
      <c r="H5" s="2">
        <v>100</v>
      </c>
      <c r="I5" s="2">
        <v>0</v>
      </c>
      <c r="J5" s="2">
        <v>0</v>
      </c>
      <c r="K5" s="2">
        <v>6.8182</v>
      </c>
      <c r="L5" s="2">
        <v>100</v>
      </c>
      <c r="M5" s="2">
        <v>100</v>
      </c>
      <c r="N5" s="2">
        <v>60.33653846153838</v>
      </c>
      <c r="O5" s="2">
        <v>87.5</v>
      </c>
      <c r="P5" s="2">
        <v>0</v>
      </c>
      <c r="Q5" s="2">
        <v>100</v>
      </c>
      <c r="R5" s="2">
        <v>0</v>
      </c>
      <c r="S5" s="2">
        <v>100</v>
      </c>
      <c r="T5" s="2">
        <v>88.4615</v>
      </c>
      <c r="U5" s="2"/>
      <c r="V5" s="2"/>
      <c r="W5" s="2">
        <v>60.33653846153838</v>
      </c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1:43" x14ac:dyDescent="0.25">
      <c r="A6" t="s">
        <v>208</v>
      </c>
      <c r="B6" t="s">
        <v>208</v>
      </c>
      <c r="C6" t="s">
        <v>198</v>
      </c>
      <c r="D6" t="s">
        <v>67</v>
      </c>
      <c r="E6" t="s">
        <v>18</v>
      </c>
      <c r="F6">
        <v>60</v>
      </c>
      <c r="G6">
        <v>100</v>
      </c>
      <c r="H6">
        <v>0</v>
      </c>
      <c r="I6">
        <v>0</v>
      </c>
      <c r="J6">
        <v>0</v>
      </c>
      <c r="K6">
        <v>0</v>
      </c>
      <c r="M6">
        <v>100</v>
      </c>
      <c r="N6">
        <v>37.5</v>
      </c>
      <c r="O6">
        <v>50</v>
      </c>
      <c r="P6">
        <v>0</v>
      </c>
      <c r="Q6">
        <v>100</v>
      </c>
      <c r="R6">
        <v>0</v>
      </c>
      <c r="S6">
        <v>100</v>
      </c>
      <c r="T6">
        <v>100</v>
      </c>
      <c r="W6">
        <v>37.5</v>
      </c>
    </row>
    <row r="7" spans="1:43" x14ac:dyDescent="0.25">
      <c r="A7" s="2" t="s">
        <v>209</v>
      </c>
      <c r="B7" s="2" t="s">
        <v>210</v>
      </c>
      <c r="C7" s="2" t="s">
        <v>211</v>
      </c>
      <c r="D7" s="2" t="s">
        <v>26</v>
      </c>
      <c r="E7" s="2" t="s">
        <v>18</v>
      </c>
      <c r="F7" s="2">
        <v>75</v>
      </c>
      <c r="G7" s="2">
        <v>100</v>
      </c>
      <c r="H7" s="2">
        <v>100</v>
      </c>
      <c r="I7" s="2">
        <v>0</v>
      </c>
      <c r="J7" s="2">
        <v>100</v>
      </c>
      <c r="K7" s="2">
        <v>0</v>
      </c>
      <c r="L7" s="2"/>
      <c r="M7" s="2">
        <v>100</v>
      </c>
      <c r="N7" s="2">
        <v>77.5</v>
      </c>
      <c r="O7" s="2">
        <v>100</v>
      </c>
      <c r="P7" s="2">
        <v>0</v>
      </c>
      <c r="Q7" s="2">
        <v>100</v>
      </c>
      <c r="R7" s="2">
        <v>0</v>
      </c>
      <c r="S7" s="2">
        <v>1.1062</v>
      </c>
      <c r="T7" s="2">
        <v>0</v>
      </c>
      <c r="U7" s="2"/>
      <c r="V7" s="2">
        <v>100</v>
      </c>
      <c r="W7" s="2">
        <v>62.5</v>
      </c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spans="1:43" x14ac:dyDescent="0.25">
      <c r="A8" t="s">
        <v>212</v>
      </c>
      <c r="B8" t="s">
        <v>212</v>
      </c>
      <c r="C8" t="s">
        <v>213</v>
      </c>
      <c r="D8" t="s">
        <v>127</v>
      </c>
      <c r="E8" t="s">
        <v>18</v>
      </c>
      <c r="F8">
        <v>57</v>
      </c>
      <c r="G8">
        <v>100</v>
      </c>
      <c r="H8">
        <v>0</v>
      </c>
      <c r="I8">
        <v>0</v>
      </c>
      <c r="J8">
        <v>0</v>
      </c>
      <c r="K8">
        <v>75</v>
      </c>
      <c r="M8">
        <v>100</v>
      </c>
      <c r="N8">
        <v>33.75</v>
      </c>
      <c r="O8">
        <v>-50</v>
      </c>
      <c r="P8">
        <v>100</v>
      </c>
      <c r="Q8">
        <v>100</v>
      </c>
      <c r="R8">
        <v>0</v>
      </c>
      <c r="S8">
        <v>100</v>
      </c>
      <c r="T8">
        <v>100</v>
      </c>
      <c r="W8">
        <v>33.75</v>
      </c>
    </row>
    <row r="9" spans="1:43" x14ac:dyDescent="0.25">
      <c r="A9" s="2" t="s">
        <v>214</v>
      </c>
      <c r="B9" s="2" t="s">
        <v>215</v>
      </c>
      <c r="C9" s="2" t="s">
        <v>216</v>
      </c>
      <c r="D9" s="2" t="s">
        <v>97</v>
      </c>
      <c r="E9" s="2" t="s">
        <v>18</v>
      </c>
      <c r="F9" s="2">
        <v>75</v>
      </c>
      <c r="G9" s="2">
        <v>100</v>
      </c>
      <c r="H9" s="2">
        <v>100</v>
      </c>
      <c r="I9" s="2">
        <v>0</v>
      </c>
      <c r="J9" s="2">
        <v>0</v>
      </c>
      <c r="K9" s="2">
        <v>0</v>
      </c>
      <c r="L9" s="2">
        <v>0</v>
      </c>
      <c r="M9" s="2">
        <v>100</v>
      </c>
      <c r="N9" s="2">
        <v>95.3125</v>
      </c>
      <c r="O9" s="2">
        <v>100</v>
      </c>
      <c r="P9" s="2">
        <v>100</v>
      </c>
      <c r="Q9" s="2">
        <v>100</v>
      </c>
      <c r="R9" s="2">
        <v>0</v>
      </c>
      <c r="S9" s="2">
        <v>0.2212</v>
      </c>
      <c r="T9" s="2">
        <v>75</v>
      </c>
      <c r="U9" s="2"/>
      <c r="V9" s="2"/>
      <c r="W9" s="2">
        <v>95.3125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spans="1:43" x14ac:dyDescent="0.25">
      <c r="A10" t="s">
        <v>217</v>
      </c>
      <c r="B10" t="s">
        <v>218</v>
      </c>
      <c r="C10" t="s">
        <v>205</v>
      </c>
      <c r="D10" t="s">
        <v>53</v>
      </c>
      <c r="E10" t="s">
        <v>24</v>
      </c>
      <c r="F10">
        <v>75</v>
      </c>
      <c r="G10">
        <v>100</v>
      </c>
      <c r="H10">
        <v>100</v>
      </c>
      <c r="I10">
        <v>0</v>
      </c>
      <c r="J10">
        <v>0</v>
      </c>
      <c r="K10">
        <v>0</v>
      </c>
      <c r="L10">
        <v>0</v>
      </c>
      <c r="M10">
        <v>100</v>
      </c>
      <c r="N10">
        <v>15</v>
      </c>
      <c r="O10">
        <v>0</v>
      </c>
      <c r="P10">
        <v>100</v>
      </c>
      <c r="Q10">
        <v>100</v>
      </c>
      <c r="R10">
        <v>0</v>
      </c>
      <c r="S10">
        <v>100</v>
      </c>
      <c r="T10">
        <v>0</v>
      </c>
      <c r="W10">
        <v>15</v>
      </c>
    </row>
    <row r="11" spans="1:43" x14ac:dyDescent="0.25">
      <c r="A11" s="2" t="s">
        <v>219</v>
      </c>
      <c r="B11" s="2" t="s">
        <v>220</v>
      </c>
      <c r="C11" s="2" t="s">
        <v>221</v>
      </c>
      <c r="D11" s="2" t="s">
        <v>60</v>
      </c>
      <c r="E11" s="2" t="s">
        <v>18</v>
      </c>
      <c r="F11" s="2">
        <v>75</v>
      </c>
      <c r="G11" s="2">
        <v>100</v>
      </c>
      <c r="H11" s="2">
        <v>0</v>
      </c>
      <c r="I11" s="2">
        <v>0</v>
      </c>
      <c r="J11" s="2">
        <v>100</v>
      </c>
      <c r="K11" s="2">
        <v>0</v>
      </c>
      <c r="L11" s="2">
        <v>0</v>
      </c>
      <c r="M11" s="2">
        <v>100</v>
      </c>
      <c r="N11" s="2">
        <v>15</v>
      </c>
      <c r="O11" s="2">
        <v>0</v>
      </c>
      <c r="P11" s="2">
        <v>100</v>
      </c>
      <c r="Q11" s="2">
        <v>100</v>
      </c>
      <c r="R11" s="2">
        <v>0</v>
      </c>
      <c r="S11" s="2">
        <v>100</v>
      </c>
      <c r="T11" s="2">
        <v>0</v>
      </c>
      <c r="U11" s="2"/>
      <c r="V11" s="2"/>
      <c r="W11" s="2">
        <v>15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 spans="1:43" x14ac:dyDescent="0.25">
      <c r="A12" t="s">
        <v>223</v>
      </c>
      <c r="B12" t="s">
        <v>224</v>
      </c>
      <c r="C12" t="s">
        <v>201</v>
      </c>
      <c r="D12" t="s">
        <v>45</v>
      </c>
      <c r="E12" t="s">
        <v>75</v>
      </c>
      <c r="F12">
        <v>75</v>
      </c>
      <c r="G12">
        <v>100</v>
      </c>
      <c r="H12">
        <v>100</v>
      </c>
      <c r="I12">
        <v>0</v>
      </c>
      <c r="J12">
        <v>100</v>
      </c>
      <c r="K12">
        <v>0</v>
      </c>
      <c r="M12">
        <v>100</v>
      </c>
      <c r="N12">
        <v>15</v>
      </c>
      <c r="O12">
        <v>0</v>
      </c>
      <c r="P12">
        <v>100</v>
      </c>
      <c r="Q12">
        <v>100</v>
      </c>
      <c r="R12">
        <v>0</v>
      </c>
      <c r="S12">
        <v>100</v>
      </c>
      <c r="T12">
        <v>0</v>
      </c>
      <c r="W12">
        <v>15</v>
      </c>
    </row>
    <row r="13" spans="1:43" x14ac:dyDescent="0.25">
      <c r="A13" s="2" t="s">
        <v>225</v>
      </c>
      <c r="B13" s="2" t="s">
        <v>226</v>
      </c>
      <c r="C13" s="2" t="s">
        <v>211</v>
      </c>
      <c r="D13" s="2" t="s">
        <v>26</v>
      </c>
      <c r="E13" s="2" t="s">
        <v>18</v>
      </c>
      <c r="F13" s="2">
        <v>95</v>
      </c>
      <c r="G13" s="2">
        <v>100</v>
      </c>
      <c r="H13" s="2">
        <v>100</v>
      </c>
      <c r="I13" s="2">
        <v>0</v>
      </c>
      <c r="J13" s="2">
        <v>0</v>
      </c>
      <c r="K13" s="2">
        <v>11.1111</v>
      </c>
      <c r="L13" s="2">
        <v>100</v>
      </c>
      <c r="M13" s="2">
        <v>100</v>
      </c>
      <c r="N13" s="2">
        <v>78.12499999999994</v>
      </c>
      <c r="O13" s="2">
        <v>100</v>
      </c>
      <c r="P13" s="2">
        <v>100</v>
      </c>
      <c r="Q13" s="2">
        <v>100</v>
      </c>
      <c r="R13" s="2">
        <v>0</v>
      </c>
      <c r="S13" s="2">
        <v>100</v>
      </c>
      <c r="T13" s="2">
        <v>83.3333</v>
      </c>
      <c r="U13" s="2"/>
      <c r="V13" s="2"/>
      <c r="W13" s="2">
        <v>78.12499999999994</v>
      </c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 spans="1:43" x14ac:dyDescent="0.25">
      <c r="A14" t="s">
        <v>227</v>
      </c>
      <c r="B14" t="s">
        <v>228</v>
      </c>
      <c r="C14" t="s">
        <v>201</v>
      </c>
      <c r="D14" t="s">
        <v>45</v>
      </c>
      <c r="E14" t="s">
        <v>18</v>
      </c>
      <c r="F14">
        <v>40</v>
      </c>
      <c r="G14">
        <v>100</v>
      </c>
      <c r="H14">
        <v>100</v>
      </c>
      <c r="I14">
        <v>0</v>
      </c>
      <c r="J14">
        <v>100</v>
      </c>
      <c r="K14">
        <v>0</v>
      </c>
      <c r="M14">
        <v>100</v>
      </c>
      <c r="N14">
        <v>52.5</v>
      </c>
      <c r="O14">
        <v>33.33333333333333</v>
      </c>
      <c r="P14">
        <v>0</v>
      </c>
      <c r="Q14">
        <v>100</v>
      </c>
      <c r="R14">
        <v>0</v>
      </c>
      <c r="S14">
        <v>0.6637</v>
      </c>
      <c r="T14">
        <v>0</v>
      </c>
      <c r="V14">
        <v>100</v>
      </c>
      <c r="W14">
        <v>37.5</v>
      </c>
    </row>
    <row r="15" spans="1:43" x14ac:dyDescent="0.25">
      <c r="A15" s="2" t="s">
        <v>229</v>
      </c>
      <c r="B15" s="2" t="s">
        <v>230</v>
      </c>
      <c r="C15" s="2" t="s">
        <v>231</v>
      </c>
      <c r="D15" s="2" t="s">
        <v>28</v>
      </c>
      <c r="E15" s="2" t="s">
        <v>18</v>
      </c>
      <c r="F15" s="2">
        <v>95</v>
      </c>
      <c r="G15" s="2">
        <v>100</v>
      </c>
      <c r="H15" s="2">
        <v>100</v>
      </c>
      <c r="I15" s="2">
        <v>0</v>
      </c>
      <c r="J15" s="2">
        <v>0</v>
      </c>
      <c r="K15" s="2">
        <v>0</v>
      </c>
      <c r="L15" s="2">
        <v>100</v>
      </c>
      <c r="M15" s="2">
        <v>100</v>
      </c>
      <c r="N15" s="2">
        <v>81.25</v>
      </c>
      <c r="O15" s="2">
        <v>100</v>
      </c>
      <c r="P15" s="2">
        <v>100</v>
      </c>
      <c r="Q15" s="2">
        <v>100</v>
      </c>
      <c r="R15" s="2">
        <v>0</v>
      </c>
      <c r="S15" s="2">
        <v>100</v>
      </c>
      <c r="T15" s="2">
        <v>100</v>
      </c>
      <c r="U15" s="2"/>
      <c r="V15" s="2"/>
      <c r="W15" s="2">
        <v>81.25</v>
      </c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 spans="1:43" x14ac:dyDescent="0.25">
      <c r="A16" t="s">
        <v>232</v>
      </c>
      <c r="B16" t="s">
        <v>207</v>
      </c>
      <c r="C16" t="s">
        <v>211</v>
      </c>
      <c r="D16" t="s">
        <v>26</v>
      </c>
      <c r="E16" t="s">
        <v>18</v>
      </c>
      <c r="F16">
        <v>60</v>
      </c>
      <c r="G16">
        <v>100</v>
      </c>
      <c r="H16">
        <v>100</v>
      </c>
      <c r="I16">
        <v>0</v>
      </c>
      <c r="J16">
        <v>0</v>
      </c>
      <c r="K16">
        <v>0</v>
      </c>
      <c r="M16">
        <v>100</v>
      </c>
      <c r="N16">
        <v>77.5</v>
      </c>
      <c r="O16">
        <v>100</v>
      </c>
      <c r="P16">
        <v>0</v>
      </c>
      <c r="Q16">
        <v>100</v>
      </c>
      <c r="R16">
        <v>0</v>
      </c>
      <c r="S16">
        <v>0.2212</v>
      </c>
      <c r="T16">
        <v>0</v>
      </c>
      <c r="V16">
        <v>100</v>
      </c>
      <c r="W16">
        <v>62.5</v>
      </c>
    </row>
    <row r="17" spans="1:43" x14ac:dyDescent="0.25">
      <c r="A17" s="2" t="s">
        <v>233</v>
      </c>
      <c r="B17" s="2" t="s">
        <v>234</v>
      </c>
      <c r="C17" s="2" t="s">
        <v>231</v>
      </c>
      <c r="D17" s="2" t="s">
        <v>28</v>
      </c>
      <c r="E17" s="2" t="s">
        <v>18</v>
      </c>
      <c r="F17" s="2">
        <v>76.76470588235294</v>
      </c>
      <c r="G17" s="2">
        <v>100</v>
      </c>
      <c r="H17" s="2">
        <v>100</v>
      </c>
      <c r="I17" s="2">
        <v>33.3</v>
      </c>
      <c r="J17" s="2">
        <v>66.6667</v>
      </c>
      <c r="K17" s="2">
        <v>0</v>
      </c>
      <c r="L17" s="2"/>
      <c r="M17" s="2">
        <v>100</v>
      </c>
      <c r="N17" s="2">
        <v>91.5625</v>
      </c>
      <c r="O17" s="2">
        <v>100</v>
      </c>
      <c r="P17" s="2">
        <v>100</v>
      </c>
      <c r="Q17" s="2">
        <v>100</v>
      </c>
      <c r="R17" s="2">
        <v>0</v>
      </c>
      <c r="S17" s="2">
        <v>1.7699</v>
      </c>
      <c r="T17" s="2">
        <v>0</v>
      </c>
      <c r="U17" s="2"/>
      <c r="V17" s="2">
        <v>68.75</v>
      </c>
      <c r="W17" s="2">
        <v>81.25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r="18" spans="1:43" x14ac:dyDescent="0.25">
      <c r="A18" t="s">
        <v>235</v>
      </c>
      <c r="B18" t="s">
        <v>235</v>
      </c>
      <c r="C18" t="s">
        <v>201</v>
      </c>
      <c r="D18" t="s">
        <v>45</v>
      </c>
      <c r="E18" t="s">
        <v>18</v>
      </c>
      <c r="F18">
        <v>75</v>
      </c>
      <c r="G18">
        <v>100</v>
      </c>
      <c r="H18">
        <v>100</v>
      </c>
      <c r="I18">
        <v>0</v>
      </c>
      <c r="J18">
        <v>100</v>
      </c>
      <c r="K18">
        <v>0</v>
      </c>
      <c r="M18">
        <v>100</v>
      </c>
      <c r="N18">
        <v>83</v>
      </c>
      <c r="O18">
        <v>100</v>
      </c>
      <c r="P18">
        <v>0</v>
      </c>
      <c r="Q18">
        <v>100</v>
      </c>
      <c r="R18">
        <v>0</v>
      </c>
      <c r="S18">
        <v>4.2035</v>
      </c>
      <c r="T18">
        <v>100</v>
      </c>
      <c r="V18">
        <v>95</v>
      </c>
      <c r="W18">
        <v>68.75</v>
      </c>
    </row>
    <row r="19" spans="1:43" x14ac:dyDescent="0.25">
      <c r="A19" s="2" t="s">
        <v>236</v>
      </c>
      <c r="B19" s="2" t="s">
        <v>237</v>
      </c>
      <c r="C19" s="2" t="s">
        <v>238</v>
      </c>
      <c r="D19" s="2" t="s">
        <v>122</v>
      </c>
      <c r="E19" s="2" t="s">
        <v>18</v>
      </c>
      <c r="F19" s="2">
        <v>60</v>
      </c>
      <c r="G19" s="2">
        <v>0</v>
      </c>
      <c r="H19" s="2">
        <v>0</v>
      </c>
      <c r="I19" s="2">
        <v>100</v>
      </c>
      <c r="J19" s="2">
        <v>0</v>
      </c>
      <c r="K19" s="2">
        <v>1.9608</v>
      </c>
      <c r="L19" s="2">
        <v>100</v>
      </c>
      <c r="M19" s="2">
        <v>100</v>
      </c>
      <c r="N19" s="2">
        <v>81.25</v>
      </c>
      <c r="O19" s="2">
        <v>80.76923076923077</v>
      </c>
      <c r="P19" s="2">
        <v>100</v>
      </c>
      <c r="Q19" s="2">
        <v>100</v>
      </c>
      <c r="R19" s="2">
        <v>0</v>
      </c>
      <c r="S19" s="2">
        <v>100</v>
      </c>
      <c r="T19" s="2">
        <v>100</v>
      </c>
      <c r="U19" s="2"/>
      <c r="V19" s="2"/>
      <c r="W19" s="2">
        <v>81.25</v>
      </c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spans="1:43" x14ac:dyDescent="0.25">
      <c r="A20" t="s">
        <v>239</v>
      </c>
      <c r="B20" t="s">
        <v>240</v>
      </c>
      <c r="C20" t="s">
        <v>231</v>
      </c>
      <c r="D20" t="s">
        <v>28</v>
      </c>
      <c r="E20" t="s">
        <v>18</v>
      </c>
      <c r="F20">
        <v>75</v>
      </c>
      <c r="G20">
        <v>100</v>
      </c>
      <c r="H20">
        <v>100</v>
      </c>
      <c r="I20">
        <v>100</v>
      </c>
      <c r="J20">
        <v>0</v>
      </c>
      <c r="K20">
        <v>0</v>
      </c>
      <c r="L20">
        <v>0</v>
      </c>
      <c r="M20">
        <v>100</v>
      </c>
      <c r="N20">
        <v>47.5</v>
      </c>
      <c r="O20">
        <v>100</v>
      </c>
      <c r="P20">
        <v>100</v>
      </c>
      <c r="Q20">
        <v>100</v>
      </c>
      <c r="R20">
        <v>0</v>
      </c>
      <c r="S20">
        <v>0.2212</v>
      </c>
      <c r="T20">
        <v>0</v>
      </c>
      <c r="V20">
        <v>100</v>
      </c>
      <c r="W20">
        <v>32.5</v>
      </c>
    </row>
    <row r="21" spans="1:43" x14ac:dyDescent="0.25">
      <c r="A21" s="2" t="s">
        <v>241</v>
      </c>
      <c r="B21" s="2" t="s">
        <v>242</v>
      </c>
      <c r="C21" s="2" t="s">
        <v>243</v>
      </c>
      <c r="D21" s="2" t="s">
        <v>63</v>
      </c>
      <c r="E21" s="2" t="s">
        <v>18</v>
      </c>
      <c r="F21" s="2">
        <v>60</v>
      </c>
      <c r="G21" s="2">
        <v>100</v>
      </c>
      <c r="H21" s="2">
        <v>100</v>
      </c>
      <c r="I21" s="2">
        <v>0</v>
      </c>
      <c r="J21" s="2">
        <v>0</v>
      </c>
      <c r="K21" s="2">
        <v>0</v>
      </c>
      <c r="L21" s="2"/>
      <c r="M21" s="2">
        <v>100</v>
      </c>
      <c r="N21" s="2">
        <v>15</v>
      </c>
      <c r="O21" s="2">
        <v>0</v>
      </c>
      <c r="P21" s="2">
        <v>100</v>
      </c>
      <c r="Q21" s="2">
        <v>100</v>
      </c>
      <c r="R21" s="2">
        <v>0</v>
      </c>
      <c r="S21" s="2">
        <v>100</v>
      </c>
      <c r="T21" s="2">
        <v>0</v>
      </c>
      <c r="U21" s="2"/>
      <c r="V21" s="2"/>
      <c r="W21" s="2">
        <v>15</v>
      </c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 spans="1:43" x14ac:dyDescent="0.25">
      <c r="A22" t="s">
        <v>244</v>
      </c>
      <c r="B22" t="s">
        <v>245</v>
      </c>
      <c r="C22" t="s">
        <v>201</v>
      </c>
      <c r="D22" t="s">
        <v>45</v>
      </c>
      <c r="E22" t="s">
        <v>18</v>
      </c>
      <c r="F22">
        <v>85</v>
      </c>
      <c r="G22">
        <v>100</v>
      </c>
      <c r="H22">
        <v>100</v>
      </c>
      <c r="I22">
        <v>66.7</v>
      </c>
      <c r="J22">
        <v>100</v>
      </c>
      <c r="K22">
        <v>0</v>
      </c>
      <c r="M22">
        <v>100</v>
      </c>
      <c r="N22">
        <v>66.47727272727272</v>
      </c>
      <c r="O22">
        <v>20</v>
      </c>
      <c r="P22">
        <v>100</v>
      </c>
      <c r="Q22">
        <v>100</v>
      </c>
      <c r="R22">
        <v>0</v>
      </c>
      <c r="S22">
        <v>1.5487</v>
      </c>
      <c r="T22">
        <v>0</v>
      </c>
      <c r="V22">
        <v>68.1818</v>
      </c>
      <c r="W22">
        <v>56.25</v>
      </c>
    </row>
    <row r="23" spans="1:43" x14ac:dyDescent="0.25">
      <c r="A23" s="2" t="s">
        <v>246</v>
      </c>
      <c r="B23" s="2" t="s">
        <v>247</v>
      </c>
      <c r="C23" s="2" t="s">
        <v>201</v>
      </c>
      <c r="D23" s="2" t="s">
        <v>45</v>
      </c>
      <c r="E23" s="2" t="s">
        <v>18</v>
      </c>
      <c r="F23" s="2">
        <v>75</v>
      </c>
      <c r="G23" s="2">
        <v>100</v>
      </c>
      <c r="H23" s="2">
        <v>100</v>
      </c>
      <c r="I23" s="2">
        <v>0</v>
      </c>
      <c r="J23" s="2">
        <v>100</v>
      </c>
      <c r="K23" s="2">
        <v>0</v>
      </c>
      <c r="L23" s="2"/>
      <c r="M23" s="2">
        <v>100</v>
      </c>
      <c r="N23" s="2">
        <v>95</v>
      </c>
      <c r="O23" s="2">
        <v>100</v>
      </c>
      <c r="P23" s="2">
        <v>100</v>
      </c>
      <c r="Q23" s="2">
        <v>100</v>
      </c>
      <c r="R23" s="2">
        <v>0</v>
      </c>
      <c r="S23" s="2">
        <v>0.885</v>
      </c>
      <c r="T23" s="2">
        <v>0</v>
      </c>
      <c r="U23" s="2"/>
      <c r="V23" s="2">
        <v>91.6667</v>
      </c>
      <c r="W23" s="2">
        <v>81.25</v>
      </c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spans="1:43" x14ac:dyDescent="0.25">
      <c r="A24" t="s">
        <v>248</v>
      </c>
      <c r="B24" t="s">
        <v>249</v>
      </c>
      <c r="C24" t="s">
        <v>201</v>
      </c>
      <c r="D24" t="s">
        <v>45</v>
      </c>
      <c r="E24" t="s">
        <v>18</v>
      </c>
      <c r="F24">
        <v>60</v>
      </c>
      <c r="G24">
        <v>100</v>
      </c>
      <c r="H24">
        <v>0</v>
      </c>
      <c r="I24">
        <v>0</v>
      </c>
      <c r="J24">
        <v>100</v>
      </c>
      <c r="K24">
        <v>0</v>
      </c>
      <c r="M24">
        <v>100</v>
      </c>
      <c r="N24">
        <v>74.4375</v>
      </c>
      <c r="O24">
        <v>33.33333333333333</v>
      </c>
      <c r="P24">
        <v>100</v>
      </c>
      <c r="Q24">
        <v>100</v>
      </c>
      <c r="R24">
        <v>25</v>
      </c>
      <c r="S24">
        <v>0.6637</v>
      </c>
      <c r="T24">
        <v>0</v>
      </c>
      <c r="V24">
        <v>90</v>
      </c>
      <c r="W24">
        <v>60.9375</v>
      </c>
    </row>
    <row r="25" spans="1:43" x14ac:dyDescent="0.25">
      <c r="A25" s="2" t="s">
        <v>250</v>
      </c>
      <c r="B25" s="2" t="s">
        <v>251</v>
      </c>
      <c r="C25" s="2" t="s">
        <v>252</v>
      </c>
      <c r="D25" s="2" t="s">
        <v>47</v>
      </c>
      <c r="E25" s="2" t="s">
        <v>18</v>
      </c>
      <c r="F25" s="2">
        <v>45</v>
      </c>
      <c r="G25" s="2">
        <v>0</v>
      </c>
      <c r="H25" s="2">
        <v>0</v>
      </c>
      <c r="I25" s="2">
        <v>0</v>
      </c>
      <c r="J25" s="2">
        <v>0</v>
      </c>
      <c r="K25" s="2">
        <v>10.1695</v>
      </c>
      <c r="L25" s="2">
        <v>100</v>
      </c>
      <c r="M25" s="2">
        <v>100</v>
      </c>
      <c r="N25" s="2">
        <v>80.52884615384613</v>
      </c>
      <c r="O25" s="2">
        <v>77.5</v>
      </c>
      <c r="P25" s="2">
        <v>100</v>
      </c>
      <c r="Q25" s="2">
        <v>100</v>
      </c>
      <c r="R25" s="2">
        <v>0</v>
      </c>
      <c r="S25" s="2">
        <v>100</v>
      </c>
      <c r="T25" s="2">
        <v>96.1538</v>
      </c>
      <c r="U25" s="2"/>
      <c r="V25" s="2"/>
      <c r="W25" s="2">
        <v>80.52884615384613</v>
      </c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spans="1:43" x14ac:dyDescent="0.25">
      <c r="A26" t="s">
        <v>253</v>
      </c>
      <c r="B26" t="s">
        <v>254</v>
      </c>
      <c r="C26" t="s">
        <v>201</v>
      </c>
      <c r="D26" t="s">
        <v>45</v>
      </c>
      <c r="E26" t="s">
        <v>18</v>
      </c>
      <c r="F26">
        <v>85</v>
      </c>
      <c r="G26">
        <v>100</v>
      </c>
      <c r="H26">
        <v>100</v>
      </c>
      <c r="I26">
        <v>66.7</v>
      </c>
      <c r="J26">
        <v>100</v>
      </c>
      <c r="K26">
        <v>0</v>
      </c>
      <c r="L26">
        <v>0</v>
      </c>
      <c r="M26">
        <v>100</v>
      </c>
      <c r="N26">
        <v>109.46969696969695</v>
      </c>
      <c r="O26">
        <v>100</v>
      </c>
      <c r="P26">
        <v>100</v>
      </c>
      <c r="Q26">
        <v>100</v>
      </c>
      <c r="R26">
        <v>77.7778</v>
      </c>
      <c r="S26">
        <v>0.4425</v>
      </c>
      <c r="T26">
        <v>0</v>
      </c>
      <c r="V26">
        <v>90.9091</v>
      </c>
      <c r="W26">
        <v>95.83333333333331</v>
      </c>
    </row>
    <row r="27" spans="1:43" x14ac:dyDescent="0.25">
      <c r="A27" s="2" t="s">
        <v>255</v>
      </c>
      <c r="B27" s="2" t="s">
        <v>256</v>
      </c>
      <c r="C27" s="2" t="s">
        <v>257</v>
      </c>
      <c r="D27" s="2" t="s">
        <v>32</v>
      </c>
      <c r="E27" s="2" t="s">
        <v>18</v>
      </c>
      <c r="F27" s="2">
        <v>90</v>
      </c>
      <c r="G27" s="2">
        <v>100</v>
      </c>
      <c r="H27" s="2">
        <v>100</v>
      </c>
      <c r="I27" s="2">
        <v>0</v>
      </c>
      <c r="J27" s="2">
        <v>100</v>
      </c>
      <c r="K27" s="2">
        <v>0</v>
      </c>
      <c r="L27" s="2">
        <v>0</v>
      </c>
      <c r="M27" s="2">
        <v>100</v>
      </c>
      <c r="N27" s="2">
        <v>15</v>
      </c>
      <c r="O27" s="2">
        <v>0</v>
      </c>
      <c r="P27" s="2">
        <v>100</v>
      </c>
      <c r="Q27" s="2">
        <v>100</v>
      </c>
      <c r="R27" s="2">
        <v>0</v>
      </c>
      <c r="S27" s="2">
        <v>100</v>
      </c>
      <c r="T27" s="2">
        <v>0</v>
      </c>
      <c r="U27" s="2"/>
      <c r="V27" s="2"/>
      <c r="W27" s="2">
        <v>15</v>
      </c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spans="1:43" x14ac:dyDescent="0.25">
      <c r="A28" t="s">
        <v>258</v>
      </c>
      <c r="B28" t="s">
        <v>259</v>
      </c>
      <c r="C28" t="s">
        <v>201</v>
      </c>
      <c r="D28" t="s">
        <v>45</v>
      </c>
      <c r="E28" t="s">
        <v>18</v>
      </c>
      <c r="F28">
        <v>75</v>
      </c>
      <c r="G28">
        <v>100</v>
      </c>
      <c r="H28">
        <v>100</v>
      </c>
      <c r="I28">
        <v>0</v>
      </c>
      <c r="J28">
        <v>97.2973</v>
      </c>
      <c r="K28">
        <v>0</v>
      </c>
      <c r="M28">
        <v>100</v>
      </c>
      <c r="N28">
        <v>115</v>
      </c>
      <c r="O28">
        <v>100</v>
      </c>
      <c r="P28">
        <v>100</v>
      </c>
      <c r="Q28">
        <v>100</v>
      </c>
      <c r="R28">
        <v>100</v>
      </c>
      <c r="S28">
        <v>1.1062</v>
      </c>
      <c r="T28">
        <v>0</v>
      </c>
      <c r="V28">
        <v>100</v>
      </c>
      <c r="W28">
        <v>100</v>
      </c>
    </row>
    <row r="29" spans="1:43" x14ac:dyDescent="0.25">
      <c r="A29" s="2" t="s">
        <v>260</v>
      </c>
      <c r="B29" s="2" t="s">
        <v>261</v>
      </c>
      <c r="C29" s="2" t="s">
        <v>201</v>
      </c>
      <c r="D29" s="2" t="s">
        <v>45</v>
      </c>
      <c r="E29" s="2" t="s">
        <v>18</v>
      </c>
      <c r="F29" s="2">
        <v>85</v>
      </c>
      <c r="G29" s="2">
        <v>100</v>
      </c>
      <c r="H29" s="2">
        <v>100</v>
      </c>
      <c r="I29" s="2">
        <v>0</v>
      </c>
      <c r="J29" s="2">
        <v>0</v>
      </c>
      <c r="K29" s="2">
        <v>0</v>
      </c>
      <c r="L29" s="2">
        <v>50</v>
      </c>
      <c r="M29" s="2">
        <v>100</v>
      </c>
      <c r="N29" s="2">
        <v>81.25</v>
      </c>
      <c r="O29" s="2">
        <v>85.71428571428571</v>
      </c>
      <c r="P29" s="2">
        <v>100</v>
      </c>
      <c r="Q29" s="2">
        <v>100</v>
      </c>
      <c r="R29" s="2">
        <v>0</v>
      </c>
      <c r="S29" s="2">
        <v>100</v>
      </c>
      <c r="T29" s="2">
        <v>100</v>
      </c>
      <c r="U29" s="2"/>
      <c r="V29" s="2"/>
      <c r="W29" s="2">
        <v>81.25</v>
      </c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x14ac:dyDescent="0.25">
      <c r="A30" t="s">
        <v>262</v>
      </c>
      <c r="B30" t="s">
        <v>263</v>
      </c>
      <c r="C30" t="s">
        <v>252</v>
      </c>
      <c r="D30" t="s">
        <v>47</v>
      </c>
      <c r="E30" t="s">
        <v>18</v>
      </c>
      <c r="F30">
        <v>85</v>
      </c>
      <c r="G30">
        <v>100</v>
      </c>
      <c r="H30">
        <v>100</v>
      </c>
      <c r="I30">
        <v>0</v>
      </c>
      <c r="J30">
        <v>0</v>
      </c>
      <c r="K30">
        <v>20</v>
      </c>
      <c r="L30">
        <v>50</v>
      </c>
      <c r="M30">
        <v>100</v>
      </c>
      <c r="N30">
        <v>81.25</v>
      </c>
      <c r="O30">
        <v>100</v>
      </c>
      <c r="P30">
        <v>100</v>
      </c>
      <c r="Q30">
        <v>100</v>
      </c>
      <c r="R30">
        <v>0</v>
      </c>
      <c r="S30">
        <v>100</v>
      </c>
      <c r="T30">
        <v>100</v>
      </c>
      <c r="W30">
        <v>81.25</v>
      </c>
    </row>
    <row r="31" spans="1:43" x14ac:dyDescent="0.25">
      <c r="A31" s="2" t="s">
        <v>264</v>
      </c>
      <c r="B31" s="2" t="s">
        <v>265</v>
      </c>
      <c r="C31" s="2" t="s">
        <v>266</v>
      </c>
      <c r="D31" s="2" t="s">
        <v>30</v>
      </c>
      <c r="E31" s="2" t="s">
        <v>18</v>
      </c>
      <c r="F31" s="2">
        <v>95</v>
      </c>
      <c r="G31" s="2">
        <v>100</v>
      </c>
      <c r="H31" s="2">
        <v>100</v>
      </c>
      <c r="I31" s="2">
        <v>0</v>
      </c>
      <c r="J31" s="2">
        <v>0</v>
      </c>
      <c r="K31" s="2">
        <v>0</v>
      </c>
      <c r="L31" s="2">
        <v>100</v>
      </c>
      <c r="M31" s="2">
        <v>100</v>
      </c>
      <c r="N31" s="2">
        <v>37.5</v>
      </c>
      <c r="O31" s="2">
        <v>0</v>
      </c>
      <c r="P31" s="2">
        <v>100</v>
      </c>
      <c r="Q31" s="2">
        <v>100</v>
      </c>
      <c r="R31" s="2">
        <v>0</v>
      </c>
      <c r="S31" s="2">
        <v>100</v>
      </c>
      <c r="T31" s="2">
        <v>0</v>
      </c>
      <c r="U31" s="2"/>
      <c r="V31" s="2"/>
      <c r="W31" s="2">
        <v>37.5</v>
      </c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spans="1:43" x14ac:dyDescent="0.25">
      <c r="A32" t="s">
        <v>267</v>
      </c>
      <c r="B32" t="s">
        <v>268</v>
      </c>
      <c r="C32" t="s">
        <v>201</v>
      </c>
      <c r="D32" t="s">
        <v>45</v>
      </c>
      <c r="E32" t="s">
        <v>18</v>
      </c>
      <c r="F32">
        <v>75</v>
      </c>
      <c r="G32">
        <v>100</v>
      </c>
      <c r="H32">
        <v>100</v>
      </c>
      <c r="I32">
        <v>0</v>
      </c>
      <c r="J32">
        <v>97.5</v>
      </c>
      <c r="K32">
        <v>0</v>
      </c>
      <c r="M32">
        <v>100</v>
      </c>
      <c r="N32">
        <v>109.0340909090909</v>
      </c>
      <c r="O32">
        <v>87.5</v>
      </c>
      <c r="P32">
        <v>100</v>
      </c>
      <c r="Q32">
        <v>100</v>
      </c>
      <c r="R32">
        <v>68.1818</v>
      </c>
      <c r="S32">
        <v>0.6637</v>
      </c>
      <c r="T32">
        <v>0</v>
      </c>
      <c r="V32">
        <v>100</v>
      </c>
      <c r="W32">
        <v>94.0340909090909</v>
      </c>
    </row>
    <row r="33" spans="1:43" x14ac:dyDescent="0.25">
      <c r="A33" s="2" t="s">
        <v>269</v>
      </c>
      <c r="B33" s="2" t="s">
        <v>270</v>
      </c>
      <c r="C33" s="2" t="s">
        <v>205</v>
      </c>
      <c r="D33" s="2" t="s">
        <v>53</v>
      </c>
      <c r="E33" s="2" t="s">
        <v>24</v>
      </c>
      <c r="F33" s="2">
        <v>25</v>
      </c>
      <c r="G33" s="2">
        <v>0</v>
      </c>
      <c r="H33" s="2">
        <v>0</v>
      </c>
      <c r="I33" s="2">
        <v>0</v>
      </c>
      <c r="J33" s="2">
        <v>0</v>
      </c>
      <c r="K33" s="2">
        <v>5.8824</v>
      </c>
      <c r="L33" s="2">
        <v>0</v>
      </c>
      <c r="M33" s="2">
        <v>100</v>
      </c>
      <c r="N33" s="2">
        <v>61.16071428571431</v>
      </c>
      <c r="O33" s="2">
        <v>88.88888888888889</v>
      </c>
      <c r="P33" s="2">
        <v>0</v>
      </c>
      <c r="Q33" s="2">
        <v>100</v>
      </c>
      <c r="R33" s="2">
        <v>0</v>
      </c>
      <c r="S33" s="2">
        <v>100</v>
      </c>
      <c r="T33" s="2">
        <v>92.8571</v>
      </c>
      <c r="U33" s="2"/>
      <c r="V33" s="2">
        <v>0</v>
      </c>
      <c r="W33" s="2">
        <v>61.16071428571431</v>
      </c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pans="1:43" x14ac:dyDescent="0.25">
      <c r="A34" t="s">
        <v>271</v>
      </c>
      <c r="B34" t="s">
        <v>272</v>
      </c>
      <c r="C34" t="s">
        <v>273</v>
      </c>
      <c r="D34" t="s">
        <v>57</v>
      </c>
      <c r="E34" t="s">
        <v>18</v>
      </c>
      <c r="F34">
        <v>70.58823529411765</v>
      </c>
      <c r="G34">
        <v>100</v>
      </c>
      <c r="H34">
        <v>100</v>
      </c>
      <c r="I34">
        <v>0</v>
      </c>
      <c r="J34">
        <v>60</v>
      </c>
      <c r="K34">
        <v>0</v>
      </c>
      <c r="M34">
        <v>100</v>
      </c>
      <c r="N34">
        <v>32.5</v>
      </c>
      <c r="O34">
        <v>95.83333333333334</v>
      </c>
      <c r="P34">
        <v>100</v>
      </c>
      <c r="Q34">
        <v>100</v>
      </c>
      <c r="R34">
        <v>0</v>
      </c>
      <c r="S34">
        <v>1.5487</v>
      </c>
      <c r="T34">
        <v>0</v>
      </c>
      <c r="V34">
        <v>0</v>
      </c>
      <c r="W34">
        <v>32.5</v>
      </c>
    </row>
    <row r="35" spans="1:43" x14ac:dyDescent="0.25">
      <c r="A35" s="2" t="s">
        <v>274</v>
      </c>
      <c r="B35" s="2" t="s">
        <v>275</v>
      </c>
      <c r="C35" s="2" t="s">
        <v>252</v>
      </c>
      <c r="D35" s="2" t="s">
        <v>47</v>
      </c>
      <c r="E35" s="2" t="s">
        <v>18</v>
      </c>
      <c r="F35" s="2">
        <v>60</v>
      </c>
      <c r="G35" s="2">
        <v>0</v>
      </c>
      <c r="H35" s="2">
        <v>100</v>
      </c>
      <c r="I35" s="2">
        <v>0</v>
      </c>
      <c r="J35" s="2">
        <v>0</v>
      </c>
      <c r="K35" s="2">
        <v>16</v>
      </c>
      <c r="L35" s="2">
        <v>100</v>
      </c>
      <c r="M35" s="2">
        <v>100</v>
      </c>
      <c r="N35" s="2">
        <v>78.22916666666663</v>
      </c>
      <c r="O35" s="2">
        <v>65.21739130434783</v>
      </c>
      <c r="P35" s="2">
        <v>100</v>
      </c>
      <c r="Q35" s="2">
        <v>100</v>
      </c>
      <c r="R35" s="2">
        <v>0</v>
      </c>
      <c r="S35" s="2">
        <v>100</v>
      </c>
      <c r="T35" s="2">
        <v>97.2222</v>
      </c>
      <c r="U35" s="2"/>
      <c r="V35" s="2"/>
      <c r="W35" s="2">
        <v>78.22916666666663</v>
      </c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spans="1:43" x14ac:dyDescent="0.25">
      <c r="A36" t="s">
        <v>276</v>
      </c>
      <c r="B36" t="s">
        <v>277</v>
      </c>
      <c r="C36" t="s">
        <v>278</v>
      </c>
      <c r="D36" t="s">
        <v>41</v>
      </c>
      <c r="E36" t="s">
        <v>18</v>
      </c>
      <c r="F36">
        <v>75</v>
      </c>
      <c r="G36">
        <v>100</v>
      </c>
      <c r="H36">
        <v>100</v>
      </c>
      <c r="I36">
        <v>0</v>
      </c>
      <c r="J36">
        <v>0</v>
      </c>
      <c r="K36">
        <v>0</v>
      </c>
      <c r="M36">
        <v>100</v>
      </c>
      <c r="N36">
        <v>15</v>
      </c>
      <c r="O36">
        <v>0</v>
      </c>
      <c r="P36">
        <v>100</v>
      </c>
      <c r="Q36">
        <v>100</v>
      </c>
      <c r="R36">
        <v>0</v>
      </c>
      <c r="S36">
        <v>100</v>
      </c>
      <c r="T36">
        <v>0</v>
      </c>
      <c r="W36">
        <v>15</v>
      </c>
    </row>
    <row r="37" spans="1:43" x14ac:dyDescent="0.25">
      <c r="A37" s="2" t="s">
        <v>279</v>
      </c>
      <c r="B37" s="2" t="s">
        <v>280</v>
      </c>
      <c r="C37" s="2" t="s">
        <v>281</v>
      </c>
      <c r="D37" s="2" t="s">
        <v>111</v>
      </c>
      <c r="E37" s="2" t="s">
        <v>18</v>
      </c>
      <c r="F37" s="2">
        <v>73.23529411764706</v>
      </c>
      <c r="G37" s="2">
        <v>100</v>
      </c>
      <c r="H37" s="2">
        <v>0</v>
      </c>
      <c r="I37" s="2">
        <v>0</v>
      </c>
      <c r="J37" s="2">
        <v>75</v>
      </c>
      <c r="K37" s="2">
        <v>0</v>
      </c>
      <c r="L37" s="2"/>
      <c r="M37" s="2">
        <v>100</v>
      </c>
      <c r="N37" s="2">
        <v>15</v>
      </c>
      <c r="O37" s="2">
        <v>0</v>
      </c>
      <c r="P37" s="2">
        <v>100</v>
      </c>
      <c r="Q37" s="2">
        <v>100</v>
      </c>
      <c r="R37" s="2">
        <v>0</v>
      </c>
      <c r="S37" s="2">
        <v>100</v>
      </c>
      <c r="T37" s="2">
        <v>0</v>
      </c>
      <c r="U37" s="2"/>
      <c r="V37" s="2"/>
      <c r="W37" s="2">
        <v>15</v>
      </c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spans="1:43" x14ac:dyDescent="0.25">
      <c r="A38" t="s">
        <v>282</v>
      </c>
      <c r="B38" t="s">
        <v>283</v>
      </c>
      <c r="C38" t="s">
        <v>252</v>
      </c>
      <c r="D38" t="s">
        <v>47</v>
      </c>
      <c r="E38" t="s">
        <v>24</v>
      </c>
      <c r="F38">
        <v>85</v>
      </c>
      <c r="G38">
        <v>100</v>
      </c>
      <c r="H38">
        <v>100</v>
      </c>
      <c r="I38">
        <v>0</v>
      </c>
      <c r="J38">
        <v>0</v>
      </c>
      <c r="K38">
        <v>0</v>
      </c>
      <c r="L38">
        <v>50</v>
      </c>
      <c r="M38">
        <v>100</v>
      </c>
      <c r="N38">
        <v>33.75</v>
      </c>
      <c r="O38">
        <v>-66.66666666666666</v>
      </c>
      <c r="P38">
        <v>100</v>
      </c>
      <c r="Q38">
        <v>100</v>
      </c>
      <c r="R38">
        <v>0</v>
      </c>
      <c r="S38">
        <v>100</v>
      </c>
      <c r="T38">
        <v>100</v>
      </c>
      <c r="W38">
        <v>33.75</v>
      </c>
    </row>
    <row r="39" spans="1:43" x14ac:dyDescent="0.25">
      <c r="A39" s="2" t="s">
        <v>284</v>
      </c>
      <c r="B39" s="2" t="s">
        <v>285</v>
      </c>
      <c r="C39" s="2" t="s">
        <v>238</v>
      </c>
      <c r="D39" s="2" t="s">
        <v>122</v>
      </c>
      <c r="E39" s="2" t="s">
        <v>18</v>
      </c>
      <c r="F39" s="2">
        <v>35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50</v>
      </c>
      <c r="M39" s="2">
        <v>100</v>
      </c>
      <c r="N39" s="2">
        <v>79.54545454545456</v>
      </c>
      <c r="O39" s="2">
        <v>100</v>
      </c>
      <c r="P39" s="2">
        <v>100</v>
      </c>
      <c r="Q39" s="2">
        <v>100</v>
      </c>
      <c r="R39" s="2">
        <v>0</v>
      </c>
      <c r="S39" s="2">
        <v>100</v>
      </c>
      <c r="T39" s="2">
        <v>90.9091</v>
      </c>
      <c r="U39" s="2"/>
      <c r="V39" s="2"/>
      <c r="W39" s="2">
        <v>79.54545454545456</v>
      </c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43" x14ac:dyDescent="0.25">
      <c r="A40" t="s">
        <v>286</v>
      </c>
      <c r="B40" t="s">
        <v>287</v>
      </c>
      <c r="C40" t="s">
        <v>238</v>
      </c>
      <c r="D40" t="s">
        <v>122</v>
      </c>
      <c r="E40" t="s">
        <v>18</v>
      </c>
      <c r="F40">
        <v>25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100</v>
      </c>
      <c r="N40">
        <v>56.25</v>
      </c>
      <c r="O40">
        <v>50</v>
      </c>
      <c r="P40">
        <v>100</v>
      </c>
      <c r="Q40">
        <v>100</v>
      </c>
      <c r="R40">
        <v>0</v>
      </c>
      <c r="S40">
        <v>100</v>
      </c>
      <c r="T40">
        <v>100</v>
      </c>
      <c r="W40">
        <v>56.25</v>
      </c>
    </row>
    <row r="41" spans="1:43" x14ac:dyDescent="0.25">
      <c r="A41" s="2" t="s">
        <v>288</v>
      </c>
      <c r="B41" s="2" t="s">
        <v>289</v>
      </c>
      <c r="C41" s="2" t="s">
        <v>290</v>
      </c>
      <c r="D41" s="2" t="s">
        <v>65</v>
      </c>
      <c r="E41" s="2" t="s">
        <v>18</v>
      </c>
      <c r="F41" s="2">
        <v>25</v>
      </c>
      <c r="G41" s="2">
        <v>0</v>
      </c>
      <c r="H41" s="2">
        <v>0</v>
      </c>
      <c r="I41" s="2">
        <v>0</v>
      </c>
      <c r="J41" s="2">
        <v>0</v>
      </c>
      <c r="K41" s="2">
        <v>8.6957</v>
      </c>
      <c r="L41" s="2">
        <v>0</v>
      </c>
      <c r="M41" s="2">
        <v>100</v>
      </c>
      <c r="N41" s="2">
        <v>81.25</v>
      </c>
      <c r="O41" s="2">
        <v>100</v>
      </c>
      <c r="P41" s="2">
        <v>100</v>
      </c>
      <c r="Q41" s="2">
        <v>100</v>
      </c>
      <c r="R41" s="2">
        <v>0</v>
      </c>
      <c r="S41" s="2">
        <v>100</v>
      </c>
      <c r="T41" s="2">
        <v>100</v>
      </c>
      <c r="U41" s="2"/>
      <c r="V41" s="2"/>
      <c r="W41" s="2">
        <v>81.25</v>
      </c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</row>
    <row r="42" spans="1:43" x14ac:dyDescent="0.25">
      <c r="A42" t="s">
        <v>291</v>
      </c>
      <c r="B42" t="s">
        <v>292</v>
      </c>
      <c r="C42" t="s">
        <v>198</v>
      </c>
      <c r="D42" t="s">
        <v>67</v>
      </c>
      <c r="E42" t="s">
        <v>18</v>
      </c>
      <c r="F42">
        <v>25</v>
      </c>
      <c r="G42">
        <v>0</v>
      </c>
      <c r="H42">
        <v>0</v>
      </c>
      <c r="I42">
        <v>0</v>
      </c>
      <c r="J42">
        <v>0</v>
      </c>
      <c r="K42">
        <v>2.0833</v>
      </c>
      <c r="L42">
        <v>0</v>
      </c>
      <c r="M42">
        <v>100</v>
      </c>
      <c r="N42">
        <v>81.25</v>
      </c>
      <c r="O42">
        <v>79.16666666666666</v>
      </c>
      <c r="P42">
        <v>100</v>
      </c>
      <c r="Q42">
        <v>100</v>
      </c>
      <c r="R42">
        <v>0</v>
      </c>
      <c r="S42">
        <v>100</v>
      </c>
      <c r="T42">
        <v>100</v>
      </c>
      <c r="W42">
        <v>81.25</v>
      </c>
    </row>
    <row r="43" spans="1:43" x14ac:dyDescent="0.25">
      <c r="A43" s="2" t="s">
        <v>293</v>
      </c>
      <c r="B43" s="2" t="s">
        <v>294</v>
      </c>
      <c r="C43" s="2" t="s">
        <v>198</v>
      </c>
      <c r="D43" s="2" t="s">
        <v>67</v>
      </c>
      <c r="E43" s="2" t="s">
        <v>18</v>
      </c>
      <c r="F43" s="2">
        <v>45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100</v>
      </c>
      <c r="M43" s="2">
        <v>100</v>
      </c>
      <c r="N43" s="2">
        <v>22.5</v>
      </c>
      <c r="O43" s="2">
        <v>0</v>
      </c>
      <c r="P43" s="2">
        <v>100</v>
      </c>
      <c r="Q43" s="2">
        <v>100</v>
      </c>
      <c r="R43" s="2">
        <v>0</v>
      </c>
      <c r="S43" s="2">
        <v>100</v>
      </c>
      <c r="T43" s="2">
        <v>0</v>
      </c>
      <c r="U43" s="2"/>
      <c r="V43" s="2"/>
      <c r="W43" s="2">
        <v>22.5</v>
      </c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</row>
    <row r="44" spans="1:43" x14ac:dyDescent="0.25">
      <c r="A44" t="s">
        <v>295</v>
      </c>
      <c r="B44" t="s">
        <v>296</v>
      </c>
      <c r="C44" t="s">
        <v>290</v>
      </c>
      <c r="D44" t="s">
        <v>65</v>
      </c>
      <c r="E44" t="s">
        <v>18</v>
      </c>
      <c r="F44">
        <v>75</v>
      </c>
      <c r="G44">
        <v>100</v>
      </c>
      <c r="H44">
        <v>100</v>
      </c>
      <c r="I44">
        <v>0</v>
      </c>
      <c r="J44">
        <v>0</v>
      </c>
      <c r="K44">
        <v>12.8205</v>
      </c>
      <c r="L44">
        <v>0</v>
      </c>
      <c r="M44">
        <v>100</v>
      </c>
      <c r="N44">
        <v>81.25</v>
      </c>
      <c r="O44">
        <v>100</v>
      </c>
      <c r="P44">
        <v>100</v>
      </c>
      <c r="Q44">
        <v>100</v>
      </c>
      <c r="R44">
        <v>0</v>
      </c>
      <c r="S44">
        <v>100</v>
      </c>
      <c r="T44">
        <v>100</v>
      </c>
      <c r="W44">
        <v>81.25</v>
      </c>
    </row>
    <row r="45" spans="1:43" x14ac:dyDescent="0.25">
      <c r="A45" s="2" t="s">
        <v>297</v>
      </c>
      <c r="B45" s="2" t="s">
        <v>298</v>
      </c>
      <c r="C45" s="2" t="s">
        <v>243</v>
      </c>
      <c r="D45" s="2" t="s">
        <v>63</v>
      </c>
      <c r="E45" s="2" t="s">
        <v>18</v>
      </c>
      <c r="F45" s="2">
        <v>75</v>
      </c>
      <c r="G45" s="2">
        <v>100</v>
      </c>
      <c r="H45" s="2">
        <v>100</v>
      </c>
      <c r="I45" s="2">
        <v>0</v>
      </c>
      <c r="J45" s="2">
        <v>0</v>
      </c>
      <c r="K45" s="2">
        <v>0</v>
      </c>
      <c r="L45" s="2">
        <v>0</v>
      </c>
      <c r="M45" s="2">
        <v>100</v>
      </c>
      <c r="N45" s="2">
        <v>15</v>
      </c>
      <c r="O45" s="2">
        <v>0</v>
      </c>
      <c r="P45" s="2">
        <v>100</v>
      </c>
      <c r="Q45" s="2">
        <v>100</v>
      </c>
      <c r="R45" s="2">
        <v>0</v>
      </c>
      <c r="S45" s="2">
        <v>100</v>
      </c>
      <c r="T45" s="2">
        <v>0</v>
      </c>
      <c r="U45" s="2"/>
      <c r="V45" s="2"/>
      <c r="W45" s="2">
        <v>15</v>
      </c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1:43" x14ac:dyDescent="0.25">
      <c r="A46" t="s">
        <v>299</v>
      </c>
      <c r="B46" t="s">
        <v>300</v>
      </c>
      <c r="C46" t="s">
        <v>252</v>
      </c>
      <c r="D46" t="s">
        <v>47</v>
      </c>
      <c r="E46" t="s">
        <v>24</v>
      </c>
      <c r="F46">
        <v>85</v>
      </c>
      <c r="G46">
        <v>100</v>
      </c>
      <c r="H46">
        <v>100</v>
      </c>
      <c r="I46">
        <v>0</v>
      </c>
      <c r="J46">
        <v>0</v>
      </c>
      <c r="K46">
        <v>0</v>
      </c>
      <c r="L46">
        <v>50</v>
      </c>
      <c r="M46">
        <v>100</v>
      </c>
      <c r="N46">
        <v>37.5</v>
      </c>
      <c r="O46">
        <v>55.55555555555556</v>
      </c>
      <c r="P46">
        <v>100</v>
      </c>
      <c r="Q46">
        <v>100</v>
      </c>
      <c r="R46">
        <v>0</v>
      </c>
      <c r="S46">
        <v>100</v>
      </c>
      <c r="T46">
        <v>0</v>
      </c>
      <c r="W46">
        <v>37.5</v>
      </c>
    </row>
    <row r="47" spans="1:43" x14ac:dyDescent="0.25">
      <c r="A47" s="2" t="s">
        <v>301</v>
      </c>
      <c r="B47" s="2" t="s">
        <v>302</v>
      </c>
      <c r="C47" s="2" t="s">
        <v>205</v>
      </c>
      <c r="D47" s="2" t="s">
        <v>53</v>
      </c>
      <c r="E47" s="2" t="s">
        <v>24</v>
      </c>
      <c r="F47" s="2">
        <v>80</v>
      </c>
      <c r="G47" s="2">
        <v>100</v>
      </c>
      <c r="H47" s="2">
        <v>100</v>
      </c>
      <c r="I47" s="2">
        <v>33.3</v>
      </c>
      <c r="J47" s="2">
        <v>100</v>
      </c>
      <c r="K47" s="2">
        <v>0</v>
      </c>
      <c r="L47" s="2"/>
      <c r="M47" s="2">
        <v>100</v>
      </c>
      <c r="N47" s="2">
        <v>67.5</v>
      </c>
      <c r="O47" s="2">
        <v>0</v>
      </c>
      <c r="P47" s="2">
        <v>100</v>
      </c>
      <c r="Q47" s="2">
        <v>100</v>
      </c>
      <c r="R47" s="2">
        <v>0</v>
      </c>
      <c r="S47" s="2">
        <v>0.4425</v>
      </c>
      <c r="T47" s="2">
        <v>0</v>
      </c>
      <c r="U47" s="2"/>
      <c r="V47" s="2">
        <v>75</v>
      </c>
      <c r="W47" s="2">
        <v>56.25</v>
      </c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1:43" x14ac:dyDescent="0.25">
      <c r="A48" t="s">
        <v>303</v>
      </c>
      <c r="B48" t="s">
        <v>304</v>
      </c>
      <c r="C48" t="s">
        <v>231</v>
      </c>
      <c r="D48" t="s">
        <v>28</v>
      </c>
      <c r="E48" t="s">
        <v>18</v>
      </c>
      <c r="F48">
        <v>85</v>
      </c>
      <c r="G48">
        <v>100</v>
      </c>
      <c r="H48">
        <v>100</v>
      </c>
      <c r="I48">
        <v>66.7</v>
      </c>
      <c r="J48">
        <v>85.7143</v>
      </c>
      <c r="K48">
        <v>0</v>
      </c>
      <c r="M48">
        <v>100</v>
      </c>
      <c r="N48">
        <v>68.75</v>
      </c>
      <c r="O48">
        <v>-100</v>
      </c>
      <c r="P48">
        <v>100</v>
      </c>
      <c r="Q48">
        <v>100</v>
      </c>
      <c r="R48">
        <v>0</v>
      </c>
      <c r="S48">
        <v>0.885</v>
      </c>
      <c r="T48">
        <v>0</v>
      </c>
      <c r="V48">
        <v>83.3333</v>
      </c>
      <c r="W48">
        <v>56.25</v>
      </c>
    </row>
    <row r="49" spans="1:43" x14ac:dyDescent="0.25">
      <c r="A49" s="2" t="s">
        <v>305</v>
      </c>
      <c r="B49" s="2" t="s">
        <v>306</v>
      </c>
      <c r="C49" s="2" t="s">
        <v>307</v>
      </c>
      <c r="D49" s="2" t="s">
        <v>108</v>
      </c>
      <c r="E49" s="2" t="s">
        <v>18</v>
      </c>
      <c r="F49" s="2">
        <v>74.74311243484736</v>
      </c>
      <c r="G49" s="2">
        <v>100</v>
      </c>
      <c r="H49" s="2">
        <v>0</v>
      </c>
      <c r="I49" s="2">
        <v>0</v>
      </c>
      <c r="J49" s="2">
        <v>83.5443</v>
      </c>
      <c r="K49" s="2">
        <v>5.0847</v>
      </c>
      <c r="L49" s="2">
        <v>0</v>
      </c>
      <c r="M49" s="2">
        <v>100</v>
      </c>
      <c r="N49" s="2">
        <v>87.71126760563381</v>
      </c>
      <c r="O49" s="2">
        <v>81.81818181818183</v>
      </c>
      <c r="P49" s="2">
        <v>0</v>
      </c>
      <c r="Q49" s="2">
        <v>100</v>
      </c>
      <c r="R49" s="2">
        <v>100</v>
      </c>
      <c r="S49" s="2">
        <v>4.4248</v>
      </c>
      <c r="T49" s="2">
        <v>100</v>
      </c>
      <c r="U49" s="2"/>
      <c r="V49" s="2">
        <v>1.4085</v>
      </c>
      <c r="W49" s="2">
        <v>87.5</v>
      </c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spans="1:43" x14ac:dyDescent="0.25">
      <c r="A50" t="s">
        <v>308</v>
      </c>
      <c r="B50" t="s">
        <v>309</v>
      </c>
      <c r="C50" t="s">
        <v>278</v>
      </c>
      <c r="D50" t="s">
        <v>41</v>
      </c>
      <c r="E50" t="s">
        <v>18</v>
      </c>
      <c r="F50">
        <v>75</v>
      </c>
      <c r="G50">
        <v>100</v>
      </c>
      <c r="H50">
        <v>0</v>
      </c>
      <c r="I50">
        <v>0</v>
      </c>
      <c r="J50">
        <v>86.4407</v>
      </c>
      <c r="K50">
        <v>1.5152</v>
      </c>
      <c r="M50">
        <v>100</v>
      </c>
      <c r="N50">
        <v>94.20454545454545</v>
      </c>
      <c r="O50">
        <v>84.61538461538461</v>
      </c>
      <c r="P50">
        <v>0</v>
      </c>
      <c r="Q50">
        <v>100</v>
      </c>
      <c r="R50">
        <v>0</v>
      </c>
      <c r="S50">
        <v>0.6637</v>
      </c>
      <c r="T50">
        <v>100</v>
      </c>
      <c r="V50">
        <v>86.3636</v>
      </c>
      <c r="W50">
        <v>81.25</v>
      </c>
    </row>
    <row r="51" spans="1:43" x14ac:dyDescent="0.25">
      <c r="A51" s="2" t="s">
        <v>310</v>
      </c>
      <c r="B51" s="2" t="s">
        <v>310</v>
      </c>
      <c r="C51" s="2" t="s">
        <v>278</v>
      </c>
      <c r="D51" s="2" t="s">
        <v>41</v>
      </c>
      <c r="E51" s="2" t="s">
        <v>18</v>
      </c>
      <c r="F51" s="2">
        <v>75</v>
      </c>
      <c r="G51" s="2">
        <v>100</v>
      </c>
      <c r="H51" s="2">
        <v>0</v>
      </c>
      <c r="I51" s="2">
        <v>0</v>
      </c>
      <c r="J51" s="2">
        <v>100</v>
      </c>
      <c r="K51" s="2">
        <v>16.6667</v>
      </c>
      <c r="L51" s="2"/>
      <c r="M51" s="2">
        <v>100</v>
      </c>
      <c r="N51" s="2">
        <v>15</v>
      </c>
      <c r="O51" s="2">
        <v>0</v>
      </c>
      <c r="P51" s="2">
        <v>100</v>
      </c>
      <c r="Q51" s="2">
        <v>100</v>
      </c>
      <c r="R51" s="2">
        <v>0</v>
      </c>
      <c r="S51" s="2">
        <v>100</v>
      </c>
      <c r="T51" s="2">
        <v>0</v>
      </c>
      <c r="U51" s="2"/>
      <c r="V51" s="2"/>
      <c r="W51" s="2">
        <v>15</v>
      </c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spans="1:43" x14ac:dyDescent="0.25">
      <c r="A52" t="s">
        <v>311</v>
      </c>
      <c r="B52" t="s">
        <v>312</v>
      </c>
      <c r="C52" t="s">
        <v>278</v>
      </c>
      <c r="D52" t="s">
        <v>41</v>
      </c>
      <c r="E52" t="s">
        <v>18</v>
      </c>
      <c r="F52">
        <v>90</v>
      </c>
      <c r="G52">
        <v>100</v>
      </c>
      <c r="H52">
        <v>100</v>
      </c>
      <c r="I52">
        <v>0</v>
      </c>
      <c r="J52">
        <v>100</v>
      </c>
      <c r="K52">
        <v>0</v>
      </c>
      <c r="M52">
        <v>100</v>
      </c>
      <c r="N52">
        <v>15</v>
      </c>
      <c r="O52">
        <v>0</v>
      </c>
      <c r="P52">
        <v>100</v>
      </c>
      <c r="Q52">
        <v>100</v>
      </c>
      <c r="R52">
        <v>0</v>
      </c>
      <c r="S52">
        <v>100</v>
      </c>
      <c r="T52">
        <v>0</v>
      </c>
      <c r="W52">
        <v>15</v>
      </c>
    </row>
    <row r="53" spans="1:43" x14ac:dyDescent="0.25">
      <c r="A53" s="2" t="s">
        <v>313</v>
      </c>
      <c r="B53" s="2" t="s">
        <v>314</v>
      </c>
      <c r="C53" s="2" t="s">
        <v>216</v>
      </c>
      <c r="D53" s="2" t="s">
        <v>97</v>
      </c>
      <c r="E53" s="2" t="s">
        <v>18</v>
      </c>
      <c r="F53" s="2">
        <v>10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/>
      <c r="M53" s="2">
        <v>100</v>
      </c>
      <c r="N53" s="2">
        <v>56.25</v>
      </c>
      <c r="O53" s="2">
        <v>50</v>
      </c>
      <c r="P53" s="2">
        <v>100</v>
      </c>
      <c r="Q53" s="2">
        <v>100</v>
      </c>
      <c r="R53" s="2">
        <v>0</v>
      </c>
      <c r="S53" s="2">
        <v>1.1062</v>
      </c>
      <c r="T53" s="2">
        <v>0</v>
      </c>
      <c r="U53" s="2"/>
      <c r="V53" s="2">
        <v>0</v>
      </c>
      <c r="W53" s="2">
        <v>56.25</v>
      </c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spans="1:43" x14ac:dyDescent="0.25">
      <c r="A54" t="s">
        <v>315</v>
      </c>
      <c r="B54" t="s">
        <v>316</v>
      </c>
      <c r="C54" t="s">
        <v>317</v>
      </c>
      <c r="D54" t="s">
        <v>39</v>
      </c>
      <c r="E54" t="s">
        <v>18</v>
      </c>
      <c r="F54">
        <v>72.86764705882354</v>
      </c>
      <c r="G54">
        <v>100</v>
      </c>
      <c r="H54">
        <v>100</v>
      </c>
      <c r="I54">
        <v>0</v>
      </c>
      <c r="J54">
        <v>72.9167</v>
      </c>
      <c r="K54">
        <v>0</v>
      </c>
      <c r="M54">
        <v>100</v>
      </c>
      <c r="N54">
        <v>54.21875</v>
      </c>
      <c r="O54">
        <v>37.5</v>
      </c>
      <c r="P54">
        <v>100</v>
      </c>
      <c r="Q54">
        <v>100</v>
      </c>
      <c r="R54">
        <v>0</v>
      </c>
      <c r="S54">
        <v>3.3186</v>
      </c>
      <c r="T54">
        <v>0</v>
      </c>
      <c r="V54">
        <v>28.125</v>
      </c>
      <c r="W54">
        <v>50</v>
      </c>
    </row>
    <row r="55" spans="1:43" x14ac:dyDescent="0.25">
      <c r="A55" s="2" t="s">
        <v>318</v>
      </c>
      <c r="B55" s="2" t="s">
        <v>319</v>
      </c>
      <c r="C55" s="2" t="s">
        <v>317</v>
      </c>
      <c r="D55" s="2" t="s">
        <v>39</v>
      </c>
      <c r="E55" s="2" t="s">
        <v>18</v>
      </c>
      <c r="F55" s="2">
        <v>74.11764705882354</v>
      </c>
      <c r="G55" s="2">
        <v>100</v>
      </c>
      <c r="H55" s="2">
        <v>100</v>
      </c>
      <c r="I55" s="2">
        <v>0</v>
      </c>
      <c r="J55" s="2">
        <v>80</v>
      </c>
      <c r="K55" s="2">
        <v>0</v>
      </c>
      <c r="L55" s="2"/>
      <c r="M55" s="2">
        <v>100</v>
      </c>
      <c r="N55" s="2">
        <v>97.5</v>
      </c>
      <c r="O55" s="2">
        <v>88.46153846153845</v>
      </c>
      <c r="P55" s="2">
        <v>100</v>
      </c>
      <c r="Q55" s="2">
        <v>100</v>
      </c>
      <c r="R55" s="2">
        <v>100</v>
      </c>
      <c r="S55" s="2">
        <v>3.0973</v>
      </c>
      <c r="T55" s="2">
        <v>0</v>
      </c>
      <c r="U55" s="2"/>
      <c r="V55" s="2">
        <v>25</v>
      </c>
      <c r="W55" s="2">
        <v>93.75</v>
      </c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spans="1:43" x14ac:dyDescent="0.25">
      <c r="A56" t="s">
        <v>320</v>
      </c>
      <c r="B56" t="s">
        <v>321</v>
      </c>
      <c r="C56" t="s">
        <v>317</v>
      </c>
      <c r="D56" t="s">
        <v>39</v>
      </c>
      <c r="E56" t="s">
        <v>75</v>
      </c>
      <c r="F56">
        <v>60</v>
      </c>
      <c r="G56">
        <v>100</v>
      </c>
      <c r="H56">
        <v>100</v>
      </c>
      <c r="I56">
        <v>0</v>
      </c>
      <c r="J56">
        <v>0</v>
      </c>
      <c r="K56">
        <v>0</v>
      </c>
      <c r="M56">
        <v>100</v>
      </c>
      <c r="N56">
        <v>15</v>
      </c>
      <c r="O56">
        <v>-100</v>
      </c>
      <c r="P56">
        <v>100</v>
      </c>
      <c r="Q56">
        <v>100</v>
      </c>
      <c r="R56">
        <v>0</v>
      </c>
      <c r="S56">
        <v>100</v>
      </c>
      <c r="T56">
        <v>0</v>
      </c>
      <c r="W56">
        <v>15</v>
      </c>
    </row>
    <row r="57" spans="1:43" x14ac:dyDescent="0.25">
      <c r="A57" s="2" t="s">
        <v>322</v>
      </c>
      <c r="B57" s="2" t="s">
        <v>323</v>
      </c>
      <c r="C57" s="2" t="s">
        <v>317</v>
      </c>
      <c r="D57" s="2" t="s">
        <v>39</v>
      </c>
      <c r="E57" s="2" t="s">
        <v>18</v>
      </c>
      <c r="F57" s="2">
        <v>75</v>
      </c>
      <c r="G57" s="2">
        <v>100</v>
      </c>
      <c r="H57" s="2">
        <v>100</v>
      </c>
      <c r="I57" s="2">
        <v>0</v>
      </c>
      <c r="J57" s="2">
        <v>100</v>
      </c>
      <c r="K57" s="2">
        <v>0</v>
      </c>
      <c r="L57" s="2"/>
      <c r="M57" s="2">
        <v>100</v>
      </c>
      <c r="N57" s="2">
        <v>15</v>
      </c>
      <c r="O57" s="2">
        <v>0</v>
      </c>
      <c r="P57" s="2">
        <v>100</v>
      </c>
      <c r="Q57" s="2">
        <v>100</v>
      </c>
      <c r="R57" s="2">
        <v>0</v>
      </c>
      <c r="S57" s="2">
        <v>100</v>
      </c>
      <c r="T57" s="2">
        <v>0</v>
      </c>
      <c r="U57" s="2"/>
      <c r="V57" s="2"/>
      <c r="W57" s="2">
        <v>15</v>
      </c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1:43" x14ac:dyDescent="0.25">
      <c r="A58" t="s">
        <v>324</v>
      </c>
      <c r="B58" t="s">
        <v>325</v>
      </c>
      <c r="C58" t="s">
        <v>317</v>
      </c>
      <c r="D58" t="s">
        <v>39</v>
      </c>
      <c r="E58" t="s">
        <v>18</v>
      </c>
      <c r="F58">
        <v>90</v>
      </c>
      <c r="G58">
        <v>100</v>
      </c>
      <c r="H58">
        <v>100</v>
      </c>
      <c r="I58">
        <v>100</v>
      </c>
      <c r="J58">
        <v>92.3077</v>
      </c>
      <c r="K58">
        <v>0</v>
      </c>
      <c r="M58">
        <v>100</v>
      </c>
      <c r="N58">
        <v>74.77272727272728</v>
      </c>
      <c r="O58">
        <v>80</v>
      </c>
      <c r="P58">
        <v>100</v>
      </c>
      <c r="Q58">
        <v>100</v>
      </c>
      <c r="R58">
        <v>0</v>
      </c>
      <c r="S58">
        <v>100</v>
      </c>
      <c r="T58">
        <v>0</v>
      </c>
      <c r="V58">
        <v>81.8182</v>
      </c>
      <c r="W58">
        <v>62.5</v>
      </c>
    </row>
    <row r="59" spans="1:43" x14ac:dyDescent="0.25">
      <c r="A59" s="2" t="s">
        <v>326</v>
      </c>
      <c r="B59" s="2" t="s">
        <v>327</v>
      </c>
      <c r="C59" s="2" t="s">
        <v>317</v>
      </c>
      <c r="D59" s="2" t="s">
        <v>39</v>
      </c>
      <c r="E59" s="2" t="s">
        <v>18</v>
      </c>
      <c r="F59" s="2">
        <v>75</v>
      </c>
      <c r="G59" s="2">
        <v>100</v>
      </c>
      <c r="H59" s="2">
        <v>100</v>
      </c>
      <c r="I59" s="2">
        <v>0</v>
      </c>
      <c r="J59" s="2">
        <v>87.5</v>
      </c>
      <c r="K59" s="2">
        <v>0</v>
      </c>
      <c r="L59" s="2"/>
      <c r="M59" s="2">
        <v>100</v>
      </c>
      <c r="N59" s="2">
        <v>65</v>
      </c>
      <c r="O59" s="2">
        <v>100</v>
      </c>
      <c r="P59" s="2">
        <v>100</v>
      </c>
      <c r="Q59" s="2">
        <v>100</v>
      </c>
      <c r="R59" s="2">
        <v>0</v>
      </c>
      <c r="S59" s="2">
        <v>100</v>
      </c>
      <c r="T59" s="2">
        <v>0</v>
      </c>
      <c r="U59" s="2"/>
      <c r="V59" s="2">
        <v>16.6667</v>
      </c>
      <c r="W59" s="2">
        <v>62.5</v>
      </c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1:43" x14ac:dyDescent="0.25">
      <c r="A60" t="s">
        <v>328</v>
      </c>
      <c r="B60" t="s">
        <v>329</v>
      </c>
      <c r="C60" t="s">
        <v>330</v>
      </c>
      <c r="D60" t="s">
        <v>85</v>
      </c>
      <c r="E60" t="s">
        <v>18</v>
      </c>
      <c r="F60">
        <v>75</v>
      </c>
      <c r="G60">
        <v>100</v>
      </c>
      <c r="H60">
        <v>100</v>
      </c>
      <c r="I60">
        <v>0</v>
      </c>
      <c r="J60">
        <v>100</v>
      </c>
      <c r="K60">
        <v>0</v>
      </c>
      <c r="M60">
        <v>100</v>
      </c>
      <c r="N60">
        <v>71.25</v>
      </c>
      <c r="O60">
        <v>0</v>
      </c>
      <c r="P60">
        <v>100</v>
      </c>
      <c r="Q60">
        <v>100</v>
      </c>
      <c r="R60">
        <v>0</v>
      </c>
      <c r="S60">
        <v>0.4425</v>
      </c>
      <c r="T60">
        <v>0</v>
      </c>
      <c r="V60">
        <v>100</v>
      </c>
      <c r="W60">
        <v>56.25</v>
      </c>
    </row>
    <row r="61" spans="1:43" x14ac:dyDescent="0.25">
      <c r="A61" s="2" t="s">
        <v>331</v>
      </c>
      <c r="B61" s="2" t="s">
        <v>332</v>
      </c>
      <c r="C61" s="2" t="s">
        <v>330</v>
      </c>
      <c r="D61" s="2" t="s">
        <v>85</v>
      </c>
      <c r="E61" s="2" t="s">
        <v>18</v>
      </c>
      <c r="F61" s="2">
        <v>75</v>
      </c>
      <c r="G61" s="2">
        <v>100</v>
      </c>
      <c r="H61" s="2">
        <v>100</v>
      </c>
      <c r="I61" s="2">
        <v>0</v>
      </c>
      <c r="J61" s="2">
        <v>100</v>
      </c>
      <c r="K61" s="2">
        <v>0</v>
      </c>
      <c r="L61" s="2"/>
      <c r="M61" s="2">
        <v>100</v>
      </c>
      <c r="N61" s="2">
        <v>90</v>
      </c>
      <c r="O61" s="2">
        <v>100</v>
      </c>
      <c r="P61" s="2">
        <v>100</v>
      </c>
      <c r="Q61" s="2">
        <v>100</v>
      </c>
      <c r="R61" s="2">
        <v>0</v>
      </c>
      <c r="S61" s="2">
        <v>2.4336</v>
      </c>
      <c r="T61" s="2">
        <v>0</v>
      </c>
      <c r="U61" s="2"/>
      <c r="V61" s="2">
        <v>100</v>
      </c>
      <c r="W61" s="2">
        <v>75</v>
      </c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1:43" x14ac:dyDescent="0.25">
      <c r="A62" t="s">
        <v>333</v>
      </c>
      <c r="B62" t="s">
        <v>334</v>
      </c>
      <c r="C62" t="s">
        <v>330</v>
      </c>
      <c r="D62" t="s">
        <v>85</v>
      </c>
      <c r="E62" t="s">
        <v>18</v>
      </c>
      <c r="F62">
        <v>75</v>
      </c>
      <c r="G62">
        <v>100</v>
      </c>
      <c r="H62">
        <v>100</v>
      </c>
      <c r="I62">
        <v>0</v>
      </c>
      <c r="J62">
        <v>100</v>
      </c>
      <c r="K62">
        <v>0</v>
      </c>
      <c r="M62">
        <v>100</v>
      </c>
      <c r="N62">
        <v>71.25</v>
      </c>
      <c r="O62">
        <v>50</v>
      </c>
      <c r="P62">
        <v>100</v>
      </c>
      <c r="Q62">
        <v>100</v>
      </c>
      <c r="R62">
        <v>0</v>
      </c>
      <c r="S62">
        <v>1.7699</v>
      </c>
      <c r="T62">
        <v>0</v>
      </c>
      <c r="V62">
        <v>100</v>
      </c>
      <c r="W62">
        <v>56.25</v>
      </c>
    </row>
    <row r="63" spans="1:43" x14ac:dyDescent="0.25">
      <c r="A63" s="2" t="s">
        <v>335</v>
      </c>
      <c r="B63" s="2" t="s">
        <v>336</v>
      </c>
      <c r="C63" s="2" t="s">
        <v>330</v>
      </c>
      <c r="D63" s="2" t="s">
        <v>85</v>
      </c>
      <c r="E63" s="2" t="s">
        <v>18</v>
      </c>
      <c r="F63" s="2">
        <v>75</v>
      </c>
      <c r="G63" s="2">
        <v>100</v>
      </c>
      <c r="H63" s="2">
        <v>100</v>
      </c>
      <c r="I63" s="2">
        <v>0</v>
      </c>
      <c r="J63" s="2">
        <v>100</v>
      </c>
      <c r="K63" s="2">
        <v>0</v>
      </c>
      <c r="L63" s="2"/>
      <c r="M63" s="2">
        <v>100</v>
      </c>
      <c r="N63" s="2">
        <v>53.25</v>
      </c>
      <c r="O63" s="2">
        <v>-100</v>
      </c>
      <c r="P63" s="2">
        <v>100</v>
      </c>
      <c r="Q63" s="2">
        <v>100</v>
      </c>
      <c r="R63" s="2">
        <v>40</v>
      </c>
      <c r="S63" s="2">
        <v>0.4425</v>
      </c>
      <c r="T63" s="2">
        <v>0</v>
      </c>
      <c r="U63" s="2"/>
      <c r="V63" s="2">
        <v>100</v>
      </c>
      <c r="W63" s="2">
        <v>38.25</v>
      </c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1:43" x14ac:dyDescent="0.25">
      <c r="A64" t="s">
        <v>337</v>
      </c>
      <c r="B64" t="s">
        <v>338</v>
      </c>
      <c r="C64" t="s">
        <v>330</v>
      </c>
      <c r="D64" t="s">
        <v>85</v>
      </c>
      <c r="E64" t="s">
        <v>75</v>
      </c>
      <c r="F64">
        <v>60</v>
      </c>
      <c r="G64">
        <v>100</v>
      </c>
      <c r="H64">
        <v>0</v>
      </c>
      <c r="I64">
        <v>0</v>
      </c>
      <c r="J64">
        <v>100</v>
      </c>
      <c r="K64">
        <v>0</v>
      </c>
      <c r="M64">
        <v>100</v>
      </c>
      <c r="N64">
        <v>48.75</v>
      </c>
      <c r="O64">
        <v>0</v>
      </c>
      <c r="P64">
        <v>100</v>
      </c>
      <c r="Q64">
        <v>100</v>
      </c>
      <c r="R64">
        <v>0</v>
      </c>
      <c r="S64">
        <v>0.2212</v>
      </c>
      <c r="T64">
        <v>0</v>
      </c>
      <c r="V64">
        <v>100</v>
      </c>
      <c r="W64">
        <v>33.75</v>
      </c>
    </row>
    <row r="65" spans="1:43" x14ac:dyDescent="0.25">
      <c r="A65" s="2" t="s">
        <v>339</v>
      </c>
      <c r="B65" s="2" t="s">
        <v>340</v>
      </c>
      <c r="C65" s="2" t="s">
        <v>341</v>
      </c>
      <c r="D65" s="2" t="s">
        <v>135</v>
      </c>
      <c r="E65" s="2" t="s">
        <v>18</v>
      </c>
      <c r="F65" s="2">
        <v>25</v>
      </c>
      <c r="G65" s="2">
        <v>0</v>
      </c>
      <c r="H65" s="2">
        <v>0</v>
      </c>
      <c r="I65" s="2">
        <v>0</v>
      </c>
      <c r="J65" s="2">
        <v>0</v>
      </c>
      <c r="K65" s="2">
        <v>25</v>
      </c>
      <c r="L65" s="2">
        <v>0</v>
      </c>
      <c r="M65" s="2">
        <v>100</v>
      </c>
      <c r="N65" s="2">
        <v>56.25</v>
      </c>
      <c r="O65" s="2">
        <v>37.5</v>
      </c>
      <c r="P65" s="2">
        <v>0</v>
      </c>
      <c r="Q65" s="2">
        <v>100</v>
      </c>
      <c r="R65" s="2">
        <v>0</v>
      </c>
      <c r="S65" s="2">
        <v>0.2212</v>
      </c>
      <c r="T65" s="2">
        <v>100</v>
      </c>
      <c r="U65" s="2"/>
      <c r="V65" s="2">
        <v>0</v>
      </c>
      <c r="W65" s="2">
        <v>56.25</v>
      </c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1:43" x14ac:dyDescent="0.25">
      <c r="A66" t="s">
        <v>342</v>
      </c>
      <c r="B66" t="s">
        <v>343</v>
      </c>
      <c r="C66" t="s">
        <v>344</v>
      </c>
      <c r="D66" t="s">
        <v>128</v>
      </c>
      <c r="E66" t="s">
        <v>18</v>
      </c>
      <c r="F66">
        <v>50</v>
      </c>
      <c r="G66">
        <v>0</v>
      </c>
      <c r="H66">
        <v>0</v>
      </c>
      <c r="I66">
        <v>0</v>
      </c>
      <c r="J66">
        <v>100</v>
      </c>
      <c r="K66">
        <v>3.4483</v>
      </c>
      <c r="L66">
        <v>50</v>
      </c>
      <c r="M66">
        <v>100</v>
      </c>
      <c r="N66">
        <v>115</v>
      </c>
      <c r="O66">
        <v>84.21052631578947</v>
      </c>
      <c r="P66">
        <v>100</v>
      </c>
      <c r="Q66">
        <v>100</v>
      </c>
      <c r="R66">
        <v>0</v>
      </c>
      <c r="S66">
        <v>1.7699</v>
      </c>
      <c r="T66">
        <v>100</v>
      </c>
      <c r="V66">
        <v>100</v>
      </c>
      <c r="W66">
        <v>100</v>
      </c>
    </row>
    <row r="67" spans="1:43" x14ac:dyDescent="0.25">
      <c r="A67" s="2" t="s">
        <v>345</v>
      </c>
      <c r="B67" s="2" t="s">
        <v>346</v>
      </c>
      <c r="C67" s="2" t="s">
        <v>347</v>
      </c>
      <c r="D67" s="2" t="s">
        <v>17</v>
      </c>
      <c r="E67" s="2" t="s">
        <v>18</v>
      </c>
      <c r="F67" s="2">
        <v>110</v>
      </c>
      <c r="G67" s="2">
        <v>100</v>
      </c>
      <c r="H67" s="2">
        <v>100</v>
      </c>
      <c r="I67" s="2">
        <v>0</v>
      </c>
      <c r="J67" s="2">
        <v>100</v>
      </c>
      <c r="K67" s="2">
        <v>50</v>
      </c>
      <c r="L67" s="2">
        <v>100</v>
      </c>
      <c r="M67" s="2">
        <v>100</v>
      </c>
      <c r="N67" s="2">
        <v>133.75</v>
      </c>
      <c r="O67" s="2">
        <v>100</v>
      </c>
      <c r="P67" s="2">
        <v>100</v>
      </c>
      <c r="Q67" s="2">
        <v>100</v>
      </c>
      <c r="R67" s="2">
        <v>100</v>
      </c>
      <c r="S67" s="2">
        <v>0.4425</v>
      </c>
      <c r="T67" s="2">
        <v>100</v>
      </c>
      <c r="U67" s="2"/>
      <c r="V67" s="2">
        <v>100</v>
      </c>
      <c r="W67" s="2">
        <v>118.75</v>
      </c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1:43" x14ac:dyDescent="0.25">
      <c r="A68" t="s">
        <v>348</v>
      </c>
      <c r="B68" t="s">
        <v>349</v>
      </c>
      <c r="C68" t="s">
        <v>350</v>
      </c>
      <c r="D68" t="s">
        <v>22</v>
      </c>
      <c r="E68" t="s">
        <v>18</v>
      </c>
      <c r="F68">
        <v>110</v>
      </c>
      <c r="G68">
        <v>100</v>
      </c>
      <c r="H68">
        <v>100</v>
      </c>
      <c r="I68">
        <v>0</v>
      </c>
      <c r="J68">
        <v>100</v>
      </c>
      <c r="K68">
        <v>0</v>
      </c>
      <c r="L68">
        <v>100</v>
      </c>
      <c r="M68">
        <v>100</v>
      </c>
      <c r="N68">
        <v>115</v>
      </c>
      <c r="O68">
        <v>100</v>
      </c>
      <c r="P68">
        <v>100</v>
      </c>
      <c r="Q68">
        <v>100</v>
      </c>
      <c r="R68">
        <v>0</v>
      </c>
      <c r="S68">
        <v>1.7699</v>
      </c>
      <c r="T68">
        <v>100</v>
      </c>
      <c r="V68">
        <v>100</v>
      </c>
      <c r="W68">
        <v>100</v>
      </c>
    </row>
    <row r="69" spans="1:43" x14ac:dyDescent="0.25">
      <c r="A69" s="2" t="s">
        <v>351</v>
      </c>
      <c r="B69" s="2" t="s">
        <v>352</v>
      </c>
      <c r="C69" s="2" t="s">
        <v>344</v>
      </c>
      <c r="D69" s="2" t="s">
        <v>128</v>
      </c>
      <c r="E69" s="2" t="s">
        <v>18</v>
      </c>
      <c r="F69" s="2">
        <v>40</v>
      </c>
      <c r="G69" s="2">
        <v>0</v>
      </c>
      <c r="H69" s="2">
        <v>0</v>
      </c>
      <c r="I69" s="2">
        <v>0</v>
      </c>
      <c r="J69" s="2">
        <v>100</v>
      </c>
      <c r="K69" s="2">
        <v>0</v>
      </c>
      <c r="L69" s="2"/>
      <c r="M69" s="2">
        <v>100</v>
      </c>
      <c r="N69" s="2">
        <v>115</v>
      </c>
      <c r="O69" s="2">
        <v>71.42857142857143</v>
      </c>
      <c r="P69" s="2">
        <v>100</v>
      </c>
      <c r="Q69" s="2">
        <v>100</v>
      </c>
      <c r="R69" s="2">
        <v>0</v>
      </c>
      <c r="S69" s="2">
        <v>1.5487</v>
      </c>
      <c r="T69" s="2">
        <v>100</v>
      </c>
      <c r="U69" s="2"/>
      <c r="V69" s="2">
        <v>100</v>
      </c>
      <c r="W69" s="2">
        <v>100</v>
      </c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1:43" x14ac:dyDescent="0.25">
      <c r="A70" t="s">
        <v>353</v>
      </c>
      <c r="B70" t="s">
        <v>354</v>
      </c>
      <c r="C70" t="s">
        <v>355</v>
      </c>
      <c r="D70" t="s">
        <v>20</v>
      </c>
      <c r="E70" t="s">
        <v>18</v>
      </c>
      <c r="F70">
        <v>110</v>
      </c>
      <c r="G70">
        <v>100</v>
      </c>
      <c r="H70">
        <v>0</v>
      </c>
      <c r="I70">
        <v>100</v>
      </c>
      <c r="J70">
        <v>97.5</v>
      </c>
      <c r="K70">
        <v>12.5</v>
      </c>
      <c r="L70">
        <v>100</v>
      </c>
      <c r="M70">
        <v>100</v>
      </c>
      <c r="N70">
        <v>102.5</v>
      </c>
      <c r="O70">
        <v>57.14285714285714</v>
      </c>
      <c r="P70">
        <v>100</v>
      </c>
      <c r="Q70">
        <v>100</v>
      </c>
      <c r="R70">
        <v>0</v>
      </c>
      <c r="S70">
        <v>3.3186</v>
      </c>
      <c r="T70">
        <v>100</v>
      </c>
      <c r="V70">
        <v>100</v>
      </c>
      <c r="W70">
        <v>87.5</v>
      </c>
    </row>
    <row r="71" spans="1:43" x14ac:dyDescent="0.25">
      <c r="A71" s="2" t="s">
        <v>356</v>
      </c>
      <c r="B71" s="2" t="s">
        <v>357</v>
      </c>
      <c r="C71" s="2" t="s">
        <v>355</v>
      </c>
      <c r="D71" s="2" t="s">
        <v>20</v>
      </c>
      <c r="E71" s="2" t="s">
        <v>24</v>
      </c>
      <c r="F71" s="2">
        <v>100</v>
      </c>
      <c r="G71" s="2">
        <v>100</v>
      </c>
      <c r="H71" s="2">
        <v>100</v>
      </c>
      <c r="I71" s="2">
        <v>33.3</v>
      </c>
      <c r="J71" s="2">
        <v>0</v>
      </c>
      <c r="K71" s="2">
        <v>0</v>
      </c>
      <c r="L71" s="2">
        <v>100</v>
      </c>
      <c r="M71" s="2">
        <v>100</v>
      </c>
      <c r="N71" s="2">
        <v>60</v>
      </c>
      <c r="O71" s="2">
        <v>66.66666666666666</v>
      </c>
      <c r="P71" s="2">
        <v>100</v>
      </c>
      <c r="Q71" s="2">
        <v>100</v>
      </c>
      <c r="R71" s="2">
        <v>0</v>
      </c>
      <c r="S71" s="2">
        <v>100</v>
      </c>
      <c r="T71" s="2">
        <v>0</v>
      </c>
      <c r="U71" s="2"/>
      <c r="V71" s="2"/>
      <c r="W71" s="2">
        <v>60</v>
      </c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spans="1:43" x14ac:dyDescent="0.25">
      <c r="A72" t="s">
        <v>358</v>
      </c>
      <c r="B72" t="s">
        <v>359</v>
      </c>
      <c r="C72" t="s">
        <v>360</v>
      </c>
      <c r="D72" t="s">
        <v>72</v>
      </c>
      <c r="E72" t="s">
        <v>18</v>
      </c>
      <c r="F72">
        <v>75</v>
      </c>
      <c r="G72">
        <v>100</v>
      </c>
      <c r="H72">
        <v>100</v>
      </c>
      <c r="I72">
        <v>0</v>
      </c>
      <c r="J72">
        <v>100</v>
      </c>
      <c r="K72">
        <v>0</v>
      </c>
      <c r="M72">
        <v>100</v>
      </c>
      <c r="N72">
        <v>72.85714285714286</v>
      </c>
      <c r="O72">
        <v>0</v>
      </c>
      <c r="P72">
        <v>100</v>
      </c>
      <c r="Q72">
        <v>100</v>
      </c>
      <c r="R72">
        <v>28.5714</v>
      </c>
      <c r="S72">
        <v>1.5487</v>
      </c>
      <c r="T72">
        <v>0</v>
      </c>
      <c r="V72">
        <v>75</v>
      </c>
      <c r="W72">
        <v>61.607142857142854</v>
      </c>
    </row>
    <row r="73" spans="1:43" x14ac:dyDescent="0.25">
      <c r="A73" s="2" t="s">
        <v>361</v>
      </c>
      <c r="B73" s="2" t="s">
        <v>362</v>
      </c>
      <c r="C73" s="2" t="s">
        <v>360</v>
      </c>
      <c r="D73" s="2" t="s">
        <v>72</v>
      </c>
      <c r="E73" s="2" t="s">
        <v>18</v>
      </c>
      <c r="F73" s="2">
        <v>75</v>
      </c>
      <c r="G73" s="2">
        <v>100</v>
      </c>
      <c r="H73" s="2">
        <v>100</v>
      </c>
      <c r="I73" s="2">
        <v>0</v>
      </c>
      <c r="J73" s="2">
        <v>100</v>
      </c>
      <c r="K73" s="2">
        <v>0</v>
      </c>
      <c r="L73" s="2"/>
      <c r="M73" s="2">
        <v>100</v>
      </c>
      <c r="N73" s="2">
        <v>71.25</v>
      </c>
      <c r="O73" s="2">
        <v>0</v>
      </c>
      <c r="P73" s="2">
        <v>100</v>
      </c>
      <c r="Q73" s="2">
        <v>100</v>
      </c>
      <c r="R73" s="2">
        <v>0</v>
      </c>
      <c r="S73" s="2">
        <v>1.1062</v>
      </c>
      <c r="T73" s="2">
        <v>0</v>
      </c>
      <c r="U73" s="2"/>
      <c r="V73" s="2">
        <v>100</v>
      </c>
      <c r="W73" s="2">
        <v>56.25</v>
      </c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spans="1:43" x14ac:dyDescent="0.25">
      <c r="A74" t="s">
        <v>363</v>
      </c>
      <c r="B74" t="s">
        <v>364</v>
      </c>
      <c r="C74" t="s">
        <v>360</v>
      </c>
      <c r="D74" t="s">
        <v>72</v>
      </c>
      <c r="E74" t="s">
        <v>75</v>
      </c>
      <c r="F74">
        <v>75</v>
      </c>
      <c r="G74">
        <v>100</v>
      </c>
      <c r="H74">
        <v>100</v>
      </c>
      <c r="I74">
        <v>0</v>
      </c>
      <c r="J74">
        <v>100</v>
      </c>
      <c r="K74">
        <v>0</v>
      </c>
      <c r="M74">
        <v>100</v>
      </c>
      <c r="N74">
        <v>85.3125</v>
      </c>
      <c r="O74">
        <v>0</v>
      </c>
      <c r="P74">
        <v>100</v>
      </c>
      <c r="Q74">
        <v>100</v>
      </c>
      <c r="R74">
        <v>75</v>
      </c>
      <c r="S74">
        <v>0.2212</v>
      </c>
      <c r="T74">
        <v>0</v>
      </c>
      <c r="V74">
        <v>100</v>
      </c>
      <c r="W74">
        <v>70.3125</v>
      </c>
    </row>
    <row r="75" spans="1:43" x14ac:dyDescent="0.25">
      <c r="A75" s="2" t="s">
        <v>365</v>
      </c>
      <c r="B75" s="2" t="s">
        <v>365</v>
      </c>
      <c r="C75" s="2" t="s">
        <v>360</v>
      </c>
      <c r="D75" s="2" t="s">
        <v>72</v>
      </c>
      <c r="E75" s="2" t="s">
        <v>18</v>
      </c>
      <c r="F75" s="2">
        <v>60</v>
      </c>
      <c r="G75" s="2">
        <v>100</v>
      </c>
      <c r="H75" s="2">
        <v>0</v>
      </c>
      <c r="I75" s="2">
        <v>0</v>
      </c>
      <c r="J75" s="2">
        <v>100</v>
      </c>
      <c r="K75" s="2">
        <v>0</v>
      </c>
      <c r="L75" s="2"/>
      <c r="M75" s="2">
        <v>100</v>
      </c>
      <c r="N75" s="2">
        <v>92.5</v>
      </c>
      <c r="O75" s="2">
        <v>100</v>
      </c>
      <c r="P75" s="2">
        <v>100</v>
      </c>
      <c r="Q75" s="2">
        <v>100</v>
      </c>
      <c r="R75" s="2">
        <v>0</v>
      </c>
      <c r="S75" s="2">
        <v>1.9912</v>
      </c>
      <c r="T75" s="2">
        <v>0</v>
      </c>
      <c r="U75" s="2"/>
      <c r="V75" s="2">
        <v>75</v>
      </c>
      <c r="W75" s="2">
        <v>81.25</v>
      </c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spans="1:43" x14ac:dyDescent="0.25">
      <c r="A76" t="s">
        <v>366</v>
      </c>
      <c r="B76" t="s">
        <v>367</v>
      </c>
      <c r="C76" t="s">
        <v>360</v>
      </c>
      <c r="D76" t="s">
        <v>72</v>
      </c>
      <c r="E76" t="s">
        <v>18</v>
      </c>
      <c r="F76">
        <v>75</v>
      </c>
      <c r="G76">
        <v>100</v>
      </c>
      <c r="H76">
        <v>100</v>
      </c>
      <c r="I76">
        <v>0</v>
      </c>
      <c r="J76">
        <v>100</v>
      </c>
      <c r="K76">
        <v>0</v>
      </c>
      <c r="M76">
        <v>100</v>
      </c>
      <c r="N76">
        <v>77.5</v>
      </c>
      <c r="O76">
        <v>100</v>
      </c>
      <c r="P76">
        <v>100</v>
      </c>
      <c r="Q76">
        <v>100</v>
      </c>
      <c r="R76">
        <v>0</v>
      </c>
      <c r="S76">
        <v>100</v>
      </c>
      <c r="T76">
        <v>0</v>
      </c>
      <c r="V76">
        <v>100</v>
      </c>
      <c r="W76">
        <v>62.5</v>
      </c>
    </row>
    <row r="77" spans="1:43" x14ac:dyDescent="0.25">
      <c r="A77" s="2" t="s">
        <v>368</v>
      </c>
      <c r="B77" s="2" t="s">
        <v>369</v>
      </c>
      <c r="C77" s="2" t="s">
        <v>360</v>
      </c>
      <c r="D77" s="2" t="s">
        <v>72</v>
      </c>
      <c r="E77" s="2" t="s">
        <v>18</v>
      </c>
      <c r="F77" s="2">
        <v>75</v>
      </c>
      <c r="G77" s="2">
        <v>100</v>
      </c>
      <c r="H77" s="2">
        <v>100</v>
      </c>
      <c r="I77" s="2">
        <v>0</v>
      </c>
      <c r="J77" s="2">
        <v>100</v>
      </c>
      <c r="K77" s="2">
        <v>0</v>
      </c>
      <c r="L77" s="2"/>
      <c r="M77" s="2">
        <v>100</v>
      </c>
      <c r="N77" s="2">
        <v>68.75</v>
      </c>
      <c r="O77" s="2">
        <v>0</v>
      </c>
      <c r="P77" s="2">
        <v>100</v>
      </c>
      <c r="Q77" s="2">
        <v>100</v>
      </c>
      <c r="R77" s="2">
        <v>0</v>
      </c>
      <c r="S77" s="2">
        <v>0.4425</v>
      </c>
      <c r="T77" s="2">
        <v>0</v>
      </c>
      <c r="U77" s="2"/>
      <c r="V77" s="2">
        <v>83.3333</v>
      </c>
      <c r="W77" s="2">
        <v>56.25</v>
      </c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1:43" x14ac:dyDescent="0.25">
      <c r="A78" t="s">
        <v>370</v>
      </c>
      <c r="B78" t="s">
        <v>371</v>
      </c>
      <c r="C78" t="s">
        <v>360</v>
      </c>
      <c r="D78" t="s">
        <v>72</v>
      </c>
      <c r="E78" t="s">
        <v>18</v>
      </c>
      <c r="F78">
        <v>75</v>
      </c>
      <c r="G78">
        <v>100</v>
      </c>
      <c r="H78">
        <v>100</v>
      </c>
      <c r="I78">
        <v>0</v>
      </c>
      <c r="J78">
        <v>100</v>
      </c>
      <c r="K78">
        <v>0</v>
      </c>
      <c r="M78">
        <v>100</v>
      </c>
      <c r="N78">
        <v>79.125</v>
      </c>
      <c r="O78">
        <v>0</v>
      </c>
      <c r="P78">
        <v>100</v>
      </c>
      <c r="Q78">
        <v>100</v>
      </c>
      <c r="R78">
        <v>50</v>
      </c>
      <c r="S78">
        <v>1.9912</v>
      </c>
      <c r="T78">
        <v>0</v>
      </c>
      <c r="V78">
        <v>90</v>
      </c>
      <c r="W78">
        <v>65.625</v>
      </c>
    </row>
    <row r="79" spans="1:43" x14ac:dyDescent="0.25">
      <c r="A79" s="2" t="s">
        <v>372</v>
      </c>
      <c r="B79" s="2" t="s">
        <v>372</v>
      </c>
      <c r="C79" s="2" t="s">
        <v>373</v>
      </c>
      <c r="D79" s="2" t="s">
        <v>81</v>
      </c>
      <c r="E79" s="2" t="s">
        <v>18</v>
      </c>
      <c r="F79" s="2">
        <v>75</v>
      </c>
      <c r="G79" s="2">
        <v>100</v>
      </c>
      <c r="H79" s="2">
        <v>100</v>
      </c>
      <c r="I79" s="2">
        <v>0</v>
      </c>
      <c r="J79" s="2">
        <v>96.2963</v>
      </c>
      <c r="K79" s="2">
        <v>0</v>
      </c>
      <c r="L79" s="2"/>
      <c r="M79" s="2">
        <v>100</v>
      </c>
      <c r="N79" s="2">
        <v>70.3125</v>
      </c>
      <c r="O79" s="2">
        <v>25</v>
      </c>
      <c r="P79" s="2">
        <v>100</v>
      </c>
      <c r="Q79" s="2">
        <v>100</v>
      </c>
      <c r="R79" s="2">
        <v>0</v>
      </c>
      <c r="S79" s="2">
        <v>0.2212</v>
      </c>
      <c r="T79" s="2">
        <v>0</v>
      </c>
      <c r="U79" s="2"/>
      <c r="V79" s="2">
        <v>93.75</v>
      </c>
      <c r="W79" s="2">
        <v>56.25</v>
      </c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spans="1:43" x14ac:dyDescent="0.25">
      <c r="A80" t="s">
        <v>374</v>
      </c>
      <c r="B80" t="s">
        <v>374</v>
      </c>
      <c r="C80" t="s">
        <v>373</v>
      </c>
      <c r="D80" t="s">
        <v>81</v>
      </c>
      <c r="E80" t="s">
        <v>18</v>
      </c>
      <c r="F80">
        <v>75</v>
      </c>
      <c r="G80">
        <v>100</v>
      </c>
      <c r="H80">
        <v>100</v>
      </c>
      <c r="I80">
        <v>0</v>
      </c>
      <c r="J80">
        <v>95.4545</v>
      </c>
      <c r="K80">
        <v>0</v>
      </c>
      <c r="M80">
        <v>100</v>
      </c>
      <c r="N80">
        <v>94.88636363636364</v>
      </c>
      <c r="O80">
        <v>100</v>
      </c>
      <c r="P80">
        <v>100</v>
      </c>
      <c r="Q80">
        <v>100</v>
      </c>
      <c r="R80">
        <v>0</v>
      </c>
      <c r="S80">
        <v>1.7699</v>
      </c>
      <c r="T80">
        <v>0</v>
      </c>
      <c r="V80">
        <v>90.9091</v>
      </c>
      <c r="W80">
        <v>81.25</v>
      </c>
    </row>
    <row r="81" spans="1:43" x14ac:dyDescent="0.25">
      <c r="A81" s="2" t="s">
        <v>375</v>
      </c>
      <c r="B81" s="2" t="s">
        <v>375</v>
      </c>
      <c r="C81" s="2" t="s">
        <v>373</v>
      </c>
      <c r="D81" s="2" t="s">
        <v>81</v>
      </c>
      <c r="E81" s="2" t="s">
        <v>18</v>
      </c>
      <c r="F81" s="2">
        <v>75</v>
      </c>
      <c r="G81" s="2">
        <v>100</v>
      </c>
      <c r="H81" s="2">
        <v>100</v>
      </c>
      <c r="I81" s="2">
        <v>0</v>
      </c>
      <c r="J81" s="2">
        <v>88.8889</v>
      </c>
      <c r="K81" s="2">
        <v>0</v>
      </c>
      <c r="L81" s="2"/>
      <c r="M81" s="2">
        <v>100</v>
      </c>
      <c r="N81" s="2">
        <v>96.25</v>
      </c>
      <c r="O81" s="2">
        <v>100</v>
      </c>
      <c r="P81" s="2">
        <v>100</v>
      </c>
      <c r="Q81" s="2">
        <v>100</v>
      </c>
      <c r="R81" s="2">
        <v>0</v>
      </c>
      <c r="S81" s="2">
        <v>0.4425</v>
      </c>
      <c r="T81" s="2">
        <v>0</v>
      </c>
      <c r="U81" s="2"/>
      <c r="V81" s="2">
        <v>100</v>
      </c>
      <c r="W81" s="2">
        <v>81.25</v>
      </c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spans="1:43" x14ac:dyDescent="0.25">
      <c r="A82" t="s">
        <v>376</v>
      </c>
      <c r="B82" t="s">
        <v>377</v>
      </c>
      <c r="C82" t="s">
        <v>378</v>
      </c>
      <c r="D82" t="s">
        <v>43</v>
      </c>
      <c r="E82" t="s">
        <v>18</v>
      </c>
      <c r="F82">
        <v>75</v>
      </c>
      <c r="G82">
        <v>100</v>
      </c>
      <c r="H82">
        <v>0</v>
      </c>
      <c r="I82">
        <v>0</v>
      </c>
      <c r="J82">
        <v>100</v>
      </c>
      <c r="K82">
        <v>0</v>
      </c>
      <c r="L82">
        <v>0</v>
      </c>
      <c r="M82">
        <v>100</v>
      </c>
      <c r="N82">
        <v>33.75</v>
      </c>
      <c r="O82">
        <v>50</v>
      </c>
      <c r="P82">
        <v>100</v>
      </c>
      <c r="Q82">
        <v>100</v>
      </c>
      <c r="R82">
        <v>0</v>
      </c>
      <c r="S82">
        <v>100</v>
      </c>
      <c r="T82">
        <v>100</v>
      </c>
      <c r="W82">
        <v>33.75</v>
      </c>
    </row>
    <row r="83" spans="1:43" x14ac:dyDescent="0.25">
      <c r="A83" s="2" t="s">
        <v>379</v>
      </c>
      <c r="B83" s="2" t="s">
        <v>380</v>
      </c>
      <c r="C83" s="2" t="s">
        <v>378</v>
      </c>
      <c r="D83" s="2" t="s">
        <v>43</v>
      </c>
      <c r="E83" s="2" t="s">
        <v>18</v>
      </c>
      <c r="F83" s="2">
        <v>90</v>
      </c>
      <c r="G83" s="2">
        <v>100</v>
      </c>
      <c r="H83" s="2">
        <v>100</v>
      </c>
      <c r="I83" s="2">
        <v>0</v>
      </c>
      <c r="J83" s="2">
        <v>100</v>
      </c>
      <c r="K83" s="2">
        <v>0</v>
      </c>
      <c r="L83" s="2"/>
      <c r="M83" s="2">
        <v>100</v>
      </c>
      <c r="N83" s="2">
        <v>71.25</v>
      </c>
      <c r="O83" s="2">
        <v>0</v>
      </c>
      <c r="P83" s="2">
        <v>100</v>
      </c>
      <c r="Q83" s="2">
        <v>100</v>
      </c>
      <c r="R83" s="2">
        <v>0</v>
      </c>
      <c r="S83" s="2">
        <v>0.2212</v>
      </c>
      <c r="T83" s="2">
        <v>0</v>
      </c>
      <c r="U83" s="2"/>
      <c r="V83" s="2">
        <v>100</v>
      </c>
      <c r="W83" s="2">
        <v>56.25</v>
      </c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1:43" x14ac:dyDescent="0.25">
      <c r="A84" t="s">
        <v>381</v>
      </c>
      <c r="B84" t="s">
        <v>381</v>
      </c>
      <c r="C84" t="s">
        <v>382</v>
      </c>
      <c r="D84" t="s">
        <v>90</v>
      </c>
      <c r="E84" t="s">
        <v>18</v>
      </c>
      <c r="F84">
        <v>75</v>
      </c>
      <c r="G84">
        <v>100</v>
      </c>
      <c r="H84">
        <v>100</v>
      </c>
      <c r="I84">
        <v>0</v>
      </c>
      <c r="J84">
        <v>100</v>
      </c>
      <c r="K84">
        <v>0</v>
      </c>
      <c r="M84">
        <v>100</v>
      </c>
      <c r="N84">
        <v>15</v>
      </c>
      <c r="O84">
        <v>0</v>
      </c>
      <c r="P84">
        <v>100</v>
      </c>
      <c r="Q84">
        <v>100</v>
      </c>
      <c r="R84">
        <v>0</v>
      </c>
      <c r="S84">
        <v>100</v>
      </c>
      <c r="T84">
        <v>0</v>
      </c>
      <c r="W84">
        <v>15</v>
      </c>
    </row>
    <row r="85" spans="1:43" x14ac:dyDescent="0.25">
      <c r="A85" s="2" t="s">
        <v>383</v>
      </c>
      <c r="B85" s="2" t="s">
        <v>384</v>
      </c>
      <c r="C85" s="2" t="s">
        <v>231</v>
      </c>
      <c r="D85" s="2" t="s">
        <v>28</v>
      </c>
      <c r="E85" s="2" t="s">
        <v>18</v>
      </c>
      <c r="F85" s="2">
        <v>75</v>
      </c>
      <c r="G85" s="2">
        <v>100</v>
      </c>
      <c r="H85" s="2">
        <v>100</v>
      </c>
      <c r="I85" s="2">
        <v>0</v>
      </c>
      <c r="J85" s="2">
        <v>0</v>
      </c>
      <c r="K85" s="2">
        <v>5.7143</v>
      </c>
      <c r="L85" s="2"/>
      <c r="M85" s="2">
        <v>100</v>
      </c>
      <c r="N85" s="2">
        <v>56.25</v>
      </c>
      <c r="O85" s="2">
        <v>0</v>
      </c>
      <c r="P85" s="2">
        <v>100</v>
      </c>
      <c r="Q85" s="2">
        <v>100</v>
      </c>
      <c r="R85" s="2">
        <v>0</v>
      </c>
      <c r="S85" s="2">
        <v>100</v>
      </c>
      <c r="T85" s="2">
        <v>100</v>
      </c>
      <c r="U85" s="2"/>
      <c r="V85" s="2"/>
      <c r="W85" s="2">
        <v>56.25</v>
      </c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spans="1:43" x14ac:dyDescent="0.25">
      <c r="A86" t="s">
        <v>385</v>
      </c>
      <c r="B86" t="s">
        <v>385</v>
      </c>
      <c r="C86" t="s">
        <v>231</v>
      </c>
      <c r="D86" t="s">
        <v>28</v>
      </c>
      <c r="E86" t="s">
        <v>18</v>
      </c>
      <c r="F86">
        <v>75</v>
      </c>
      <c r="G86">
        <v>100</v>
      </c>
      <c r="H86">
        <v>100</v>
      </c>
      <c r="I86">
        <v>0</v>
      </c>
      <c r="J86">
        <v>0</v>
      </c>
      <c r="K86">
        <v>0</v>
      </c>
      <c r="M86">
        <v>100</v>
      </c>
      <c r="N86">
        <v>47.5</v>
      </c>
      <c r="O86">
        <v>100</v>
      </c>
      <c r="P86">
        <v>100</v>
      </c>
      <c r="Q86">
        <v>100</v>
      </c>
      <c r="R86">
        <v>0</v>
      </c>
      <c r="S86">
        <v>0.4425</v>
      </c>
      <c r="T86">
        <v>0</v>
      </c>
      <c r="V86">
        <v>100</v>
      </c>
      <c r="W86">
        <v>32.5</v>
      </c>
    </row>
    <row r="87" spans="1:43" x14ac:dyDescent="0.25">
      <c r="A87" s="2" t="s">
        <v>386</v>
      </c>
      <c r="B87" s="2" t="s">
        <v>387</v>
      </c>
      <c r="C87" s="2" t="s">
        <v>360</v>
      </c>
      <c r="D87" s="2" t="s">
        <v>72</v>
      </c>
      <c r="E87" s="2" t="s">
        <v>18</v>
      </c>
      <c r="F87" s="2">
        <v>75</v>
      </c>
      <c r="G87" s="2">
        <v>100</v>
      </c>
      <c r="H87" s="2">
        <v>100</v>
      </c>
      <c r="I87" s="2">
        <v>0</v>
      </c>
      <c r="J87" s="2">
        <v>100</v>
      </c>
      <c r="K87" s="2">
        <v>0</v>
      </c>
      <c r="L87" s="2"/>
      <c r="M87" s="2">
        <v>100</v>
      </c>
      <c r="N87" s="2">
        <v>76.08173076923077</v>
      </c>
      <c r="O87" s="2">
        <v>0</v>
      </c>
      <c r="P87" s="2">
        <v>100</v>
      </c>
      <c r="Q87" s="2">
        <v>100</v>
      </c>
      <c r="R87" s="2">
        <v>30.7692</v>
      </c>
      <c r="S87" s="2">
        <v>0.2212</v>
      </c>
      <c r="T87" s="2">
        <v>0</v>
      </c>
      <c r="U87" s="2"/>
      <c r="V87" s="2">
        <v>93.75</v>
      </c>
      <c r="W87" s="2">
        <v>62.01923076923077</v>
      </c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spans="1:43" x14ac:dyDescent="0.25">
      <c r="A88" t="s">
        <v>388</v>
      </c>
      <c r="B88" t="s">
        <v>388</v>
      </c>
      <c r="C88" t="s">
        <v>231</v>
      </c>
      <c r="D88" t="s">
        <v>28</v>
      </c>
      <c r="E88" t="s">
        <v>18</v>
      </c>
      <c r="F88">
        <v>74.43850267379679</v>
      </c>
      <c r="G88">
        <v>100</v>
      </c>
      <c r="H88">
        <v>100</v>
      </c>
      <c r="I88">
        <v>0</v>
      </c>
      <c r="J88">
        <v>81.8182</v>
      </c>
      <c r="K88">
        <v>0</v>
      </c>
      <c r="M88">
        <v>100</v>
      </c>
      <c r="N88">
        <v>65.89285714285714</v>
      </c>
      <c r="O88">
        <v>-100</v>
      </c>
      <c r="P88">
        <v>100</v>
      </c>
      <c r="Q88">
        <v>100</v>
      </c>
      <c r="R88">
        <v>0</v>
      </c>
      <c r="S88">
        <v>0.6637</v>
      </c>
      <c r="T88">
        <v>0</v>
      </c>
      <c r="V88">
        <v>64.2857</v>
      </c>
      <c r="W88">
        <v>56.25</v>
      </c>
    </row>
    <row r="89" spans="1:43" x14ac:dyDescent="0.25">
      <c r="A89" s="2" t="s">
        <v>389</v>
      </c>
      <c r="B89" s="2" t="s">
        <v>389</v>
      </c>
      <c r="C89" s="2" t="s">
        <v>278</v>
      </c>
      <c r="D89" s="2" t="s">
        <v>41</v>
      </c>
      <c r="E89" s="2" t="s">
        <v>18</v>
      </c>
      <c r="F89" s="2">
        <v>40</v>
      </c>
      <c r="G89" s="2">
        <v>0</v>
      </c>
      <c r="H89" s="2">
        <v>0</v>
      </c>
      <c r="I89" s="2">
        <v>0</v>
      </c>
      <c r="J89" s="2">
        <v>85.7143</v>
      </c>
      <c r="K89" s="2">
        <v>0</v>
      </c>
      <c r="L89" s="2"/>
      <c r="M89" s="2">
        <v>100</v>
      </c>
      <c r="N89" s="2">
        <v>63.75</v>
      </c>
      <c r="O89" s="2">
        <v>100</v>
      </c>
      <c r="P89" s="2">
        <v>100</v>
      </c>
      <c r="Q89" s="2">
        <v>100</v>
      </c>
      <c r="R89" s="2">
        <v>0</v>
      </c>
      <c r="S89" s="2">
        <v>100</v>
      </c>
      <c r="T89" s="2">
        <v>100</v>
      </c>
      <c r="U89" s="2"/>
      <c r="V89" s="2">
        <v>100</v>
      </c>
      <c r="W89" s="2">
        <v>48.75</v>
      </c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spans="1:43" x14ac:dyDescent="0.25">
      <c r="A90" t="s">
        <v>390</v>
      </c>
      <c r="B90" t="s">
        <v>390</v>
      </c>
      <c r="C90" t="s">
        <v>257</v>
      </c>
      <c r="D90" t="s">
        <v>32</v>
      </c>
      <c r="E90" t="s">
        <v>18</v>
      </c>
      <c r="F90">
        <v>75</v>
      </c>
      <c r="G90">
        <v>100</v>
      </c>
      <c r="H90">
        <v>100</v>
      </c>
      <c r="I90">
        <v>0</v>
      </c>
      <c r="J90">
        <v>0</v>
      </c>
      <c r="K90">
        <v>0</v>
      </c>
      <c r="M90">
        <v>100</v>
      </c>
      <c r="N90">
        <v>15</v>
      </c>
      <c r="O90">
        <v>0</v>
      </c>
      <c r="P90">
        <v>100</v>
      </c>
      <c r="Q90">
        <v>100</v>
      </c>
      <c r="R90">
        <v>0</v>
      </c>
      <c r="S90">
        <v>100</v>
      </c>
      <c r="T90">
        <v>0</v>
      </c>
      <c r="W90">
        <v>15</v>
      </c>
    </row>
    <row r="91" spans="1:43" x14ac:dyDescent="0.25">
      <c r="A91" s="2" t="s">
        <v>391</v>
      </c>
      <c r="B91" s="2" t="s">
        <v>391</v>
      </c>
      <c r="C91" s="2" t="s">
        <v>257</v>
      </c>
      <c r="D91" s="2" t="s">
        <v>32</v>
      </c>
      <c r="E91" s="2" t="s">
        <v>18</v>
      </c>
      <c r="F91" s="2">
        <v>90</v>
      </c>
      <c r="G91" s="2">
        <v>100</v>
      </c>
      <c r="H91" s="2">
        <v>100</v>
      </c>
      <c r="I91" s="2">
        <v>0</v>
      </c>
      <c r="J91" s="2">
        <v>100</v>
      </c>
      <c r="K91" s="2">
        <v>0</v>
      </c>
      <c r="L91" s="2"/>
      <c r="M91" s="2">
        <v>100</v>
      </c>
      <c r="N91" s="2">
        <v>15</v>
      </c>
      <c r="O91" s="2">
        <v>0</v>
      </c>
      <c r="P91" s="2">
        <v>100</v>
      </c>
      <c r="Q91" s="2">
        <v>100</v>
      </c>
      <c r="R91" s="2">
        <v>0</v>
      </c>
      <c r="S91" s="2">
        <v>100</v>
      </c>
      <c r="T91" s="2">
        <v>0</v>
      </c>
      <c r="U91" s="2"/>
      <c r="V91" s="2"/>
      <c r="W91" s="2">
        <v>15</v>
      </c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spans="1:43" x14ac:dyDescent="0.25">
      <c r="A92" t="s">
        <v>392</v>
      </c>
      <c r="B92" t="s">
        <v>393</v>
      </c>
      <c r="C92" t="s">
        <v>205</v>
      </c>
      <c r="D92" t="s">
        <v>53</v>
      </c>
      <c r="E92" t="s">
        <v>24</v>
      </c>
      <c r="F92">
        <v>60</v>
      </c>
      <c r="G92">
        <v>100</v>
      </c>
      <c r="H92">
        <v>100</v>
      </c>
      <c r="I92">
        <v>0</v>
      </c>
      <c r="J92">
        <v>0</v>
      </c>
      <c r="K92">
        <v>0</v>
      </c>
      <c r="M92">
        <v>100</v>
      </c>
      <c r="N92">
        <v>22.5</v>
      </c>
      <c r="O92">
        <v>0</v>
      </c>
      <c r="P92">
        <v>100</v>
      </c>
      <c r="Q92">
        <v>100</v>
      </c>
      <c r="R92">
        <v>0</v>
      </c>
      <c r="S92">
        <v>0.2212</v>
      </c>
      <c r="T92">
        <v>0</v>
      </c>
      <c r="W92">
        <v>22.5</v>
      </c>
    </row>
    <row r="93" spans="1:43" x14ac:dyDescent="0.25">
      <c r="A93" s="2" t="s">
        <v>394</v>
      </c>
      <c r="B93" s="2" t="s">
        <v>394</v>
      </c>
      <c r="C93" s="2" t="s">
        <v>395</v>
      </c>
      <c r="D93" s="2" t="s">
        <v>28</v>
      </c>
      <c r="E93" s="2" t="s">
        <v>18</v>
      </c>
      <c r="F93" s="2">
        <v>40</v>
      </c>
      <c r="G93" s="2">
        <v>0</v>
      </c>
      <c r="H93" s="2">
        <v>0</v>
      </c>
      <c r="I93" s="2">
        <v>0</v>
      </c>
      <c r="J93" s="2">
        <v>88.8889</v>
      </c>
      <c r="K93" s="2">
        <v>8.3333</v>
      </c>
      <c r="L93" s="2"/>
      <c r="M93" s="2">
        <v>100</v>
      </c>
      <c r="N93" s="2">
        <v>80.87500000000006</v>
      </c>
      <c r="O93" s="2">
        <v>15.384615384615385</v>
      </c>
      <c r="P93" s="2">
        <v>100</v>
      </c>
      <c r="Q93" s="2">
        <v>100</v>
      </c>
      <c r="R93" s="2">
        <v>25</v>
      </c>
      <c r="S93" s="2">
        <v>2.2124</v>
      </c>
      <c r="T93" s="2">
        <v>91.6667</v>
      </c>
      <c r="U93" s="2"/>
      <c r="V93" s="2">
        <v>60</v>
      </c>
      <c r="W93" s="2">
        <v>71.87500000000006</v>
      </c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spans="1:43" x14ac:dyDescent="0.25">
      <c r="A94" t="s">
        <v>396</v>
      </c>
      <c r="B94" t="s">
        <v>396</v>
      </c>
      <c r="C94" t="s">
        <v>273</v>
      </c>
      <c r="D94" t="s">
        <v>57</v>
      </c>
      <c r="E94" t="s">
        <v>18</v>
      </c>
      <c r="F94">
        <v>75</v>
      </c>
      <c r="G94">
        <v>100</v>
      </c>
      <c r="H94">
        <v>100</v>
      </c>
      <c r="I94">
        <v>0</v>
      </c>
      <c r="J94">
        <v>0</v>
      </c>
      <c r="K94">
        <v>0</v>
      </c>
      <c r="M94">
        <v>100</v>
      </c>
      <c r="N94">
        <v>25</v>
      </c>
      <c r="O94">
        <v>100</v>
      </c>
      <c r="P94">
        <v>100</v>
      </c>
      <c r="Q94">
        <v>100</v>
      </c>
      <c r="R94">
        <v>0</v>
      </c>
      <c r="S94">
        <v>100</v>
      </c>
      <c r="T94">
        <v>0</v>
      </c>
      <c r="W94">
        <v>25</v>
      </c>
    </row>
    <row r="95" spans="1:43" x14ac:dyDescent="0.25">
      <c r="A95" s="2" t="s">
        <v>397</v>
      </c>
      <c r="B95" s="2" t="s">
        <v>398</v>
      </c>
      <c r="C95" s="2" t="s">
        <v>205</v>
      </c>
      <c r="D95" s="2" t="s">
        <v>53</v>
      </c>
      <c r="E95" s="2" t="s">
        <v>24</v>
      </c>
      <c r="F95" s="2">
        <v>75</v>
      </c>
      <c r="G95" s="2">
        <v>100</v>
      </c>
      <c r="H95" s="2">
        <v>100</v>
      </c>
      <c r="I95" s="2">
        <v>0</v>
      </c>
      <c r="J95" s="2">
        <v>100</v>
      </c>
      <c r="K95" s="2">
        <v>0</v>
      </c>
      <c r="L95" s="2"/>
      <c r="M95" s="2">
        <v>100</v>
      </c>
      <c r="N95" s="2">
        <v>105.625</v>
      </c>
      <c r="O95" s="2">
        <v>100</v>
      </c>
      <c r="P95" s="2">
        <v>100</v>
      </c>
      <c r="Q95" s="2">
        <v>100</v>
      </c>
      <c r="R95" s="2">
        <v>50</v>
      </c>
      <c r="S95" s="2">
        <v>0.4425</v>
      </c>
      <c r="T95" s="2">
        <v>0</v>
      </c>
      <c r="U95" s="2"/>
      <c r="V95" s="2">
        <v>100</v>
      </c>
      <c r="W95" s="2">
        <v>90.625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spans="1:43" x14ac:dyDescent="0.25">
      <c r="A96" t="s">
        <v>399</v>
      </c>
      <c r="B96" t="s">
        <v>400</v>
      </c>
      <c r="C96" t="s">
        <v>401</v>
      </c>
      <c r="D96" t="s">
        <v>36</v>
      </c>
      <c r="E96" t="s">
        <v>18</v>
      </c>
      <c r="F96">
        <v>90</v>
      </c>
      <c r="G96">
        <v>100</v>
      </c>
      <c r="H96">
        <v>100</v>
      </c>
      <c r="I96">
        <v>0</v>
      </c>
      <c r="J96">
        <v>100</v>
      </c>
      <c r="K96">
        <v>0</v>
      </c>
      <c r="L96">
        <v>0</v>
      </c>
      <c r="M96">
        <v>100</v>
      </c>
      <c r="N96">
        <v>37.5</v>
      </c>
      <c r="O96">
        <v>100</v>
      </c>
      <c r="P96">
        <v>100</v>
      </c>
      <c r="Q96">
        <v>100</v>
      </c>
      <c r="R96">
        <v>0</v>
      </c>
      <c r="S96">
        <v>100</v>
      </c>
      <c r="T96">
        <v>0</v>
      </c>
      <c r="W96">
        <v>37.5</v>
      </c>
    </row>
    <row r="97" spans="1:43" x14ac:dyDescent="0.25">
      <c r="A97" s="2" t="s">
        <v>402</v>
      </c>
      <c r="B97" s="2" t="s">
        <v>403</v>
      </c>
      <c r="C97" s="2" t="s">
        <v>401</v>
      </c>
      <c r="D97" s="2" t="s">
        <v>36</v>
      </c>
      <c r="E97" s="2" t="s">
        <v>18</v>
      </c>
      <c r="F97" s="2">
        <v>75</v>
      </c>
      <c r="G97" s="2">
        <v>100</v>
      </c>
      <c r="H97" s="2">
        <v>100</v>
      </c>
      <c r="I97" s="2">
        <v>0</v>
      </c>
      <c r="J97" s="2">
        <v>0</v>
      </c>
      <c r="K97" s="2">
        <v>29.4118</v>
      </c>
      <c r="L97" s="2"/>
      <c r="M97" s="2">
        <v>100</v>
      </c>
      <c r="N97" s="2">
        <v>81.25</v>
      </c>
      <c r="O97" s="2">
        <v>100</v>
      </c>
      <c r="P97" s="2">
        <v>100</v>
      </c>
      <c r="Q97" s="2">
        <v>100</v>
      </c>
      <c r="R97" s="2">
        <v>0</v>
      </c>
      <c r="S97" s="2">
        <v>100</v>
      </c>
      <c r="T97" s="2">
        <v>100</v>
      </c>
      <c r="U97" s="2"/>
      <c r="V97" s="2"/>
      <c r="W97" s="2">
        <v>81.25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spans="1:43" x14ac:dyDescent="0.25">
      <c r="A98" t="s">
        <v>404</v>
      </c>
      <c r="B98" t="s">
        <v>405</v>
      </c>
      <c r="C98" t="s">
        <v>401</v>
      </c>
      <c r="D98" t="s">
        <v>36</v>
      </c>
      <c r="E98" t="s">
        <v>18</v>
      </c>
      <c r="F98">
        <v>68.82352941176471</v>
      </c>
      <c r="G98">
        <v>100</v>
      </c>
      <c r="H98">
        <v>100</v>
      </c>
      <c r="I98">
        <v>0</v>
      </c>
      <c r="J98">
        <v>50</v>
      </c>
      <c r="K98">
        <v>0</v>
      </c>
      <c r="M98">
        <v>100</v>
      </c>
      <c r="N98">
        <v>15</v>
      </c>
      <c r="O98">
        <v>0</v>
      </c>
      <c r="P98">
        <v>100</v>
      </c>
      <c r="Q98">
        <v>100</v>
      </c>
      <c r="R98">
        <v>0</v>
      </c>
      <c r="S98">
        <v>100</v>
      </c>
      <c r="T98">
        <v>0</v>
      </c>
      <c r="W98">
        <v>15</v>
      </c>
    </row>
    <row r="99" spans="1:43" x14ac:dyDescent="0.25">
      <c r="A99" s="2" t="s">
        <v>406</v>
      </c>
      <c r="B99" s="2" t="s">
        <v>406</v>
      </c>
      <c r="C99" s="2" t="s">
        <v>231</v>
      </c>
      <c r="D99" s="2" t="s">
        <v>28</v>
      </c>
      <c r="E99" s="2" t="s">
        <v>18</v>
      </c>
      <c r="F99" s="2">
        <v>75</v>
      </c>
      <c r="G99" s="2">
        <v>100</v>
      </c>
      <c r="H99" s="2">
        <v>100</v>
      </c>
      <c r="I99" s="2">
        <v>0</v>
      </c>
      <c r="J99" s="2">
        <v>100</v>
      </c>
      <c r="K99" s="2">
        <v>0</v>
      </c>
      <c r="L99" s="2"/>
      <c r="M99" s="2">
        <v>100</v>
      </c>
      <c r="N99" s="2">
        <v>15</v>
      </c>
      <c r="O99" s="2">
        <v>0</v>
      </c>
      <c r="P99" s="2">
        <v>100</v>
      </c>
      <c r="Q99" s="2">
        <v>100</v>
      </c>
      <c r="R99" s="2">
        <v>0</v>
      </c>
      <c r="S99" s="2">
        <v>100</v>
      </c>
      <c r="T99" s="2">
        <v>0</v>
      </c>
      <c r="U99" s="2"/>
      <c r="V99" s="2"/>
      <c r="W99" s="2">
        <v>15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spans="1:43" x14ac:dyDescent="0.25">
      <c r="A100" t="s">
        <v>407</v>
      </c>
      <c r="B100" t="s">
        <v>407</v>
      </c>
      <c r="C100" t="s">
        <v>278</v>
      </c>
      <c r="D100" t="s">
        <v>41</v>
      </c>
      <c r="E100" t="s">
        <v>18</v>
      </c>
      <c r="F100">
        <v>75</v>
      </c>
      <c r="G100">
        <v>100</v>
      </c>
      <c r="H100">
        <v>0</v>
      </c>
      <c r="I100">
        <v>0</v>
      </c>
      <c r="J100">
        <v>100</v>
      </c>
      <c r="K100">
        <v>40</v>
      </c>
      <c r="M100">
        <v>100</v>
      </c>
      <c r="N100">
        <v>103.48214285714286</v>
      </c>
      <c r="O100">
        <v>100</v>
      </c>
      <c r="P100">
        <v>100</v>
      </c>
      <c r="Q100">
        <v>100</v>
      </c>
      <c r="R100">
        <v>50</v>
      </c>
      <c r="S100">
        <v>100</v>
      </c>
      <c r="T100">
        <v>100</v>
      </c>
      <c r="V100">
        <v>85.7143</v>
      </c>
      <c r="W100">
        <v>90.625</v>
      </c>
    </row>
    <row r="101" spans="1:43" x14ac:dyDescent="0.25">
      <c r="A101" s="2" t="s">
        <v>408</v>
      </c>
      <c r="B101" s="2" t="s">
        <v>409</v>
      </c>
      <c r="C101" s="2" t="s">
        <v>252</v>
      </c>
      <c r="D101" s="2" t="s">
        <v>47</v>
      </c>
      <c r="E101" s="2" t="s">
        <v>18</v>
      </c>
      <c r="F101" s="2">
        <v>75</v>
      </c>
      <c r="G101" s="2">
        <v>100</v>
      </c>
      <c r="H101" s="2">
        <v>100</v>
      </c>
      <c r="I101" s="2">
        <v>0</v>
      </c>
      <c r="J101" s="2">
        <v>0</v>
      </c>
      <c r="K101" s="2">
        <v>0</v>
      </c>
      <c r="L101" s="2"/>
      <c r="M101" s="2">
        <v>100</v>
      </c>
      <c r="N101" s="2">
        <v>81.25</v>
      </c>
      <c r="O101" s="2">
        <v>85.71428571428571</v>
      </c>
      <c r="P101" s="2">
        <v>100</v>
      </c>
      <c r="Q101" s="2">
        <v>100</v>
      </c>
      <c r="R101" s="2">
        <v>0</v>
      </c>
      <c r="S101" s="2">
        <v>100</v>
      </c>
      <c r="T101" s="2">
        <v>100</v>
      </c>
      <c r="U101" s="2"/>
      <c r="V101" s="2"/>
      <c r="W101" s="2">
        <v>81.25</v>
      </c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spans="1:43" x14ac:dyDescent="0.25">
      <c r="A102" t="s">
        <v>410</v>
      </c>
      <c r="B102" t="s">
        <v>411</v>
      </c>
      <c r="C102" t="s">
        <v>317</v>
      </c>
      <c r="D102" t="s">
        <v>39</v>
      </c>
      <c r="E102" t="s">
        <v>18</v>
      </c>
      <c r="F102">
        <v>75</v>
      </c>
      <c r="G102">
        <v>100</v>
      </c>
      <c r="H102">
        <v>100</v>
      </c>
      <c r="I102">
        <v>0</v>
      </c>
      <c r="J102">
        <v>94.1176</v>
      </c>
      <c r="K102">
        <v>0</v>
      </c>
      <c r="M102">
        <v>100</v>
      </c>
      <c r="N102">
        <v>45.11363636363637</v>
      </c>
      <c r="O102">
        <v>100</v>
      </c>
      <c r="P102">
        <v>0</v>
      </c>
      <c r="Q102">
        <v>100</v>
      </c>
      <c r="R102">
        <v>0</v>
      </c>
      <c r="S102">
        <v>100</v>
      </c>
      <c r="T102">
        <v>0</v>
      </c>
      <c r="V102">
        <v>9.0909</v>
      </c>
      <c r="W102">
        <v>43.75</v>
      </c>
    </row>
    <row r="103" spans="1:43" x14ac:dyDescent="0.25">
      <c r="A103" s="2" t="s">
        <v>412</v>
      </c>
      <c r="B103" s="2" t="s">
        <v>413</v>
      </c>
      <c r="C103" s="2" t="s">
        <v>273</v>
      </c>
      <c r="D103" s="2" t="s">
        <v>57</v>
      </c>
      <c r="E103" s="2" t="s">
        <v>18</v>
      </c>
      <c r="F103" s="2">
        <v>78.0030959752322</v>
      </c>
      <c r="G103" s="2">
        <v>100</v>
      </c>
      <c r="H103" s="2">
        <v>100</v>
      </c>
      <c r="I103" s="2">
        <v>33.3</v>
      </c>
      <c r="J103" s="2">
        <v>73.6842</v>
      </c>
      <c r="K103" s="2">
        <v>0</v>
      </c>
      <c r="L103" s="2"/>
      <c r="M103" s="2">
        <v>100</v>
      </c>
      <c r="N103" s="2">
        <v>72.14285714285714</v>
      </c>
      <c r="O103" s="2">
        <v>100</v>
      </c>
      <c r="P103" s="2">
        <v>100</v>
      </c>
      <c r="Q103" s="2">
        <v>100</v>
      </c>
      <c r="R103" s="2">
        <v>0</v>
      </c>
      <c r="S103" s="2">
        <v>100</v>
      </c>
      <c r="T103" s="2">
        <v>0</v>
      </c>
      <c r="U103" s="2"/>
      <c r="V103" s="2">
        <v>64.2857</v>
      </c>
      <c r="W103" s="2">
        <v>62.5</v>
      </c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spans="1:43" x14ac:dyDescent="0.25">
      <c r="A104" t="s">
        <v>414</v>
      </c>
      <c r="B104" t="s">
        <v>414</v>
      </c>
      <c r="C104" t="s">
        <v>201</v>
      </c>
      <c r="D104" t="s">
        <v>45</v>
      </c>
      <c r="E104" t="s">
        <v>18</v>
      </c>
      <c r="F104">
        <v>75</v>
      </c>
      <c r="G104">
        <v>100</v>
      </c>
      <c r="H104">
        <v>100</v>
      </c>
      <c r="I104">
        <v>0</v>
      </c>
      <c r="J104">
        <v>94.4444</v>
      </c>
      <c r="K104">
        <v>0</v>
      </c>
      <c r="M104">
        <v>100</v>
      </c>
      <c r="N104">
        <v>75</v>
      </c>
      <c r="O104">
        <v>100</v>
      </c>
      <c r="P104">
        <v>100</v>
      </c>
      <c r="Q104">
        <v>100</v>
      </c>
      <c r="R104">
        <v>0</v>
      </c>
      <c r="S104">
        <v>100</v>
      </c>
      <c r="T104">
        <v>0</v>
      </c>
      <c r="V104">
        <v>83.3333</v>
      </c>
      <c r="W104">
        <v>62.5</v>
      </c>
    </row>
    <row r="105" spans="1:43" x14ac:dyDescent="0.25">
      <c r="A105" s="2" t="s">
        <v>415</v>
      </c>
      <c r="B105" s="2" t="s">
        <v>416</v>
      </c>
      <c r="C105" s="2" t="s">
        <v>201</v>
      </c>
      <c r="D105" s="2" t="s">
        <v>45</v>
      </c>
      <c r="E105" s="2" t="s">
        <v>18</v>
      </c>
      <c r="F105" s="2">
        <v>75</v>
      </c>
      <c r="G105" s="2">
        <v>100</v>
      </c>
      <c r="H105" s="2">
        <v>100</v>
      </c>
      <c r="I105" s="2">
        <v>0</v>
      </c>
      <c r="J105" s="2">
        <v>100</v>
      </c>
      <c r="K105" s="2">
        <v>0</v>
      </c>
      <c r="L105" s="2"/>
      <c r="M105" s="2">
        <v>100</v>
      </c>
      <c r="N105" s="2">
        <v>96.25</v>
      </c>
      <c r="O105" s="2">
        <v>100</v>
      </c>
      <c r="P105" s="2">
        <v>100</v>
      </c>
      <c r="Q105" s="2">
        <v>100</v>
      </c>
      <c r="R105" s="2">
        <v>0</v>
      </c>
      <c r="S105" s="2">
        <v>0.4425</v>
      </c>
      <c r="T105" s="2">
        <v>0</v>
      </c>
      <c r="U105" s="2"/>
      <c r="V105" s="2">
        <v>100</v>
      </c>
      <c r="W105" s="2">
        <v>81.25</v>
      </c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spans="1:43" x14ac:dyDescent="0.25">
      <c r="A106" t="s">
        <v>417</v>
      </c>
      <c r="B106" t="s">
        <v>417</v>
      </c>
      <c r="C106" t="s">
        <v>201</v>
      </c>
      <c r="D106" t="s">
        <v>45</v>
      </c>
      <c r="E106" t="s">
        <v>18</v>
      </c>
      <c r="F106">
        <v>75</v>
      </c>
      <c r="G106">
        <v>100</v>
      </c>
      <c r="H106">
        <v>100</v>
      </c>
      <c r="I106">
        <v>0</v>
      </c>
      <c r="J106">
        <v>0</v>
      </c>
      <c r="K106">
        <v>7.6923</v>
      </c>
      <c r="M106">
        <v>100</v>
      </c>
      <c r="N106">
        <v>81.25</v>
      </c>
      <c r="O106">
        <v>70</v>
      </c>
      <c r="P106">
        <v>100</v>
      </c>
      <c r="Q106">
        <v>100</v>
      </c>
      <c r="R106">
        <v>0</v>
      </c>
      <c r="S106">
        <v>100</v>
      </c>
      <c r="T106">
        <v>100</v>
      </c>
      <c r="W106">
        <v>81.25</v>
      </c>
    </row>
    <row r="107" spans="1:43" x14ac:dyDescent="0.25">
      <c r="A107" s="2" t="s">
        <v>418</v>
      </c>
      <c r="B107" s="2" t="s">
        <v>418</v>
      </c>
      <c r="C107" s="2" t="s">
        <v>201</v>
      </c>
      <c r="D107" s="2" t="s">
        <v>45</v>
      </c>
      <c r="E107" s="2" t="s">
        <v>18</v>
      </c>
      <c r="F107" s="2">
        <v>75</v>
      </c>
      <c r="G107" s="2">
        <v>100</v>
      </c>
      <c r="H107" s="2">
        <v>100</v>
      </c>
      <c r="I107" s="2">
        <v>0</v>
      </c>
      <c r="J107" s="2">
        <v>0</v>
      </c>
      <c r="K107" s="2">
        <v>11.1111</v>
      </c>
      <c r="L107" s="2"/>
      <c r="M107" s="2">
        <v>100</v>
      </c>
      <c r="N107" s="2">
        <v>81.25</v>
      </c>
      <c r="O107" s="2">
        <v>85.71428571428571</v>
      </c>
      <c r="P107" s="2">
        <v>100</v>
      </c>
      <c r="Q107" s="2">
        <v>100</v>
      </c>
      <c r="R107" s="2">
        <v>0</v>
      </c>
      <c r="S107" s="2">
        <v>100</v>
      </c>
      <c r="T107" s="2">
        <v>100</v>
      </c>
      <c r="U107" s="2"/>
      <c r="V107" s="2"/>
      <c r="W107" s="2">
        <v>81.25</v>
      </c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spans="1:43" x14ac:dyDescent="0.25">
      <c r="A108" t="s">
        <v>419</v>
      </c>
      <c r="B108" t="s">
        <v>420</v>
      </c>
      <c r="C108" t="s">
        <v>355</v>
      </c>
      <c r="D108" t="s">
        <v>20</v>
      </c>
      <c r="E108" t="s">
        <v>18</v>
      </c>
      <c r="F108">
        <v>70</v>
      </c>
      <c r="G108">
        <v>100</v>
      </c>
      <c r="H108">
        <v>0</v>
      </c>
      <c r="I108">
        <v>0</v>
      </c>
      <c r="J108">
        <v>100</v>
      </c>
      <c r="K108">
        <v>0</v>
      </c>
      <c r="L108">
        <v>50</v>
      </c>
      <c r="M108">
        <v>100</v>
      </c>
      <c r="N108">
        <v>48.75</v>
      </c>
      <c r="O108">
        <v>0</v>
      </c>
      <c r="P108">
        <v>100</v>
      </c>
      <c r="Q108">
        <v>100</v>
      </c>
      <c r="R108">
        <v>0</v>
      </c>
      <c r="S108">
        <v>1.1062</v>
      </c>
      <c r="T108">
        <v>0</v>
      </c>
      <c r="V108">
        <v>100</v>
      </c>
      <c r="W108">
        <v>33.75</v>
      </c>
    </row>
    <row r="109" spans="1:43" x14ac:dyDescent="0.25">
      <c r="A109" s="2" t="s">
        <v>421</v>
      </c>
      <c r="B109" s="2" t="s">
        <v>421</v>
      </c>
      <c r="C109" s="2" t="s">
        <v>201</v>
      </c>
      <c r="D109" s="2" t="s">
        <v>45</v>
      </c>
      <c r="E109" s="2" t="s">
        <v>18</v>
      </c>
      <c r="F109" s="2">
        <v>75</v>
      </c>
      <c r="G109" s="2">
        <v>100</v>
      </c>
      <c r="H109" s="2">
        <v>100</v>
      </c>
      <c r="I109" s="2">
        <v>0</v>
      </c>
      <c r="J109" s="2">
        <v>94.7368</v>
      </c>
      <c r="K109" s="2">
        <v>0</v>
      </c>
      <c r="L109" s="2"/>
      <c r="M109" s="2">
        <v>100</v>
      </c>
      <c r="N109" s="2">
        <v>65.56818181818181</v>
      </c>
      <c r="O109" s="2">
        <v>100</v>
      </c>
      <c r="P109" s="2">
        <v>0</v>
      </c>
      <c r="Q109" s="2">
        <v>100</v>
      </c>
      <c r="R109" s="2">
        <v>36.3636</v>
      </c>
      <c r="S109" s="2">
        <v>100</v>
      </c>
      <c r="T109" s="2">
        <v>0</v>
      </c>
      <c r="U109" s="2"/>
      <c r="V109" s="2">
        <v>100</v>
      </c>
      <c r="W109" s="2">
        <v>50.56818181818181</v>
      </c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1:43" x14ac:dyDescent="0.25">
      <c r="A110" t="s">
        <v>422</v>
      </c>
      <c r="B110" t="s">
        <v>422</v>
      </c>
      <c r="C110" t="s">
        <v>201</v>
      </c>
      <c r="D110" t="s">
        <v>45</v>
      </c>
      <c r="E110" t="s">
        <v>18</v>
      </c>
      <c r="F110">
        <v>75</v>
      </c>
      <c r="G110">
        <v>100</v>
      </c>
      <c r="H110">
        <v>100</v>
      </c>
      <c r="I110">
        <v>0</v>
      </c>
      <c r="J110">
        <v>94.1176</v>
      </c>
      <c r="K110">
        <v>0</v>
      </c>
      <c r="M110">
        <v>100</v>
      </c>
      <c r="N110">
        <v>91.75</v>
      </c>
      <c r="O110">
        <v>100</v>
      </c>
      <c r="P110">
        <v>0</v>
      </c>
      <c r="Q110">
        <v>100</v>
      </c>
      <c r="R110">
        <v>100</v>
      </c>
      <c r="S110">
        <v>1.1062</v>
      </c>
      <c r="T110">
        <v>0</v>
      </c>
      <c r="V110">
        <v>70</v>
      </c>
      <c r="W110">
        <v>81.25</v>
      </c>
    </row>
    <row r="111" spans="1:43" x14ac:dyDescent="0.25">
      <c r="A111" s="2" t="s">
        <v>423</v>
      </c>
      <c r="B111" s="2" t="s">
        <v>424</v>
      </c>
      <c r="C111" s="2" t="s">
        <v>273</v>
      </c>
      <c r="D111" s="2" t="s">
        <v>57</v>
      </c>
      <c r="E111" s="2" t="s">
        <v>18</v>
      </c>
      <c r="F111" s="2">
        <v>75</v>
      </c>
      <c r="G111" s="2">
        <v>100</v>
      </c>
      <c r="H111" s="2">
        <v>100</v>
      </c>
      <c r="I111" s="2">
        <v>0</v>
      </c>
      <c r="J111" s="2">
        <v>0</v>
      </c>
      <c r="K111" s="2">
        <v>0</v>
      </c>
      <c r="L111" s="2">
        <v>0</v>
      </c>
      <c r="M111" s="2">
        <v>100</v>
      </c>
      <c r="N111" s="2">
        <v>56.25</v>
      </c>
      <c r="O111" s="2">
        <v>0</v>
      </c>
      <c r="P111" s="2">
        <v>100</v>
      </c>
      <c r="Q111" s="2">
        <v>100</v>
      </c>
      <c r="R111" s="2">
        <v>0</v>
      </c>
      <c r="S111" s="2">
        <v>100</v>
      </c>
      <c r="T111" s="2">
        <v>100</v>
      </c>
      <c r="U111" s="2"/>
      <c r="V111" s="2"/>
      <c r="W111" s="2">
        <v>56.25</v>
      </c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spans="1:43" x14ac:dyDescent="0.25">
      <c r="A112" t="s">
        <v>425</v>
      </c>
      <c r="B112" t="s">
        <v>426</v>
      </c>
      <c r="C112" t="s">
        <v>273</v>
      </c>
      <c r="D112" t="s">
        <v>57</v>
      </c>
      <c r="E112" t="s">
        <v>18</v>
      </c>
      <c r="F112">
        <v>75</v>
      </c>
      <c r="G112">
        <v>100</v>
      </c>
      <c r="H112">
        <v>100</v>
      </c>
      <c r="I112">
        <v>0</v>
      </c>
      <c r="J112">
        <v>0</v>
      </c>
      <c r="K112">
        <v>0</v>
      </c>
      <c r="L112">
        <v>0</v>
      </c>
      <c r="M112">
        <v>100</v>
      </c>
      <c r="N112">
        <v>37.5</v>
      </c>
      <c r="O112">
        <v>20</v>
      </c>
      <c r="P112">
        <v>100</v>
      </c>
      <c r="Q112">
        <v>100</v>
      </c>
      <c r="R112">
        <v>0</v>
      </c>
      <c r="S112">
        <v>100</v>
      </c>
      <c r="T112">
        <v>0</v>
      </c>
      <c r="W112">
        <v>37.5</v>
      </c>
    </row>
    <row r="113" spans="1:43" x14ac:dyDescent="0.25">
      <c r="A113" s="2" t="s">
        <v>427</v>
      </c>
      <c r="B113" s="2" t="s">
        <v>428</v>
      </c>
      <c r="C113" s="2" t="s">
        <v>231</v>
      </c>
      <c r="D113" s="2" t="s">
        <v>28</v>
      </c>
      <c r="E113" s="2" t="s">
        <v>18</v>
      </c>
      <c r="F113" s="2">
        <v>75</v>
      </c>
      <c r="G113" s="2">
        <v>100</v>
      </c>
      <c r="H113" s="2">
        <v>100</v>
      </c>
      <c r="I113" s="2">
        <v>0</v>
      </c>
      <c r="J113" s="2">
        <v>0</v>
      </c>
      <c r="K113" s="2">
        <v>2.5</v>
      </c>
      <c r="L113" s="2"/>
      <c r="M113" s="2">
        <v>100</v>
      </c>
      <c r="N113" s="2">
        <v>80.52884615384613</v>
      </c>
      <c r="O113" s="2">
        <v>90</v>
      </c>
      <c r="P113" s="2">
        <v>100</v>
      </c>
      <c r="Q113" s="2">
        <v>100</v>
      </c>
      <c r="R113" s="2">
        <v>0</v>
      </c>
      <c r="S113" s="2">
        <v>100</v>
      </c>
      <c r="T113" s="2">
        <v>96.1538</v>
      </c>
      <c r="U113" s="2"/>
      <c r="V113" s="2"/>
      <c r="W113" s="2">
        <v>80.52884615384613</v>
      </c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spans="1:43" x14ac:dyDescent="0.25">
      <c r="A114" t="s">
        <v>429</v>
      </c>
      <c r="B114" t="s">
        <v>429</v>
      </c>
      <c r="C114" t="s">
        <v>201</v>
      </c>
      <c r="D114" t="s">
        <v>45</v>
      </c>
      <c r="E114" t="s">
        <v>18</v>
      </c>
      <c r="F114">
        <v>75</v>
      </c>
      <c r="G114">
        <v>100</v>
      </c>
      <c r="H114">
        <v>100</v>
      </c>
      <c r="I114">
        <v>0</v>
      </c>
      <c r="J114">
        <v>100</v>
      </c>
      <c r="K114">
        <v>0</v>
      </c>
      <c r="M114">
        <v>100</v>
      </c>
      <c r="N114">
        <v>71.25</v>
      </c>
      <c r="O114">
        <v>50</v>
      </c>
      <c r="P114">
        <v>100</v>
      </c>
      <c r="Q114">
        <v>100</v>
      </c>
      <c r="R114">
        <v>0</v>
      </c>
      <c r="S114">
        <v>0.4425</v>
      </c>
      <c r="T114">
        <v>0</v>
      </c>
      <c r="V114">
        <v>100</v>
      </c>
      <c r="W114">
        <v>56.25</v>
      </c>
    </row>
    <row r="115" spans="1:43" x14ac:dyDescent="0.25">
      <c r="A115" s="2" t="s">
        <v>430</v>
      </c>
      <c r="B115" s="2" t="s">
        <v>430</v>
      </c>
      <c r="C115" s="2" t="s">
        <v>201</v>
      </c>
      <c r="D115" s="2" t="s">
        <v>45</v>
      </c>
      <c r="E115" s="2" t="s">
        <v>18</v>
      </c>
      <c r="F115" s="2">
        <v>60</v>
      </c>
      <c r="G115" s="2">
        <v>100</v>
      </c>
      <c r="H115" s="2">
        <v>0</v>
      </c>
      <c r="I115" s="2">
        <v>0</v>
      </c>
      <c r="J115" s="2">
        <v>88.2353</v>
      </c>
      <c r="K115" s="2">
        <v>0</v>
      </c>
      <c r="L115" s="2"/>
      <c r="M115" s="2">
        <v>100</v>
      </c>
      <c r="N115" s="2">
        <v>77.5</v>
      </c>
      <c r="O115" s="2">
        <v>100</v>
      </c>
      <c r="P115" s="2">
        <v>0</v>
      </c>
      <c r="Q115" s="2">
        <v>100</v>
      </c>
      <c r="R115" s="2">
        <v>0</v>
      </c>
      <c r="S115" s="2">
        <v>0.6637</v>
      </c>
      <c r="T115" s="2">
        <v>0</v>
      </c>
      <c r="U115" s="2"/>
      <c r="V115" s="2">
        <v>100</v>
      </c>
      <c r="W115" s="2">
        <v>62.5</v>
      </c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spans="1:43" x14ac:dyDescent="0.25">
      <c r="A116" t="s">
        <v>431</v>
      </c>
      <c r="B116" t="s">
        <v>431</v>
      </c>
      <c r="C116" t="s">
        <v>216</v>
      </c>
      <c r="D116" t="s">
        <v>97</v>
      </c>
      <c r="E116" t="s">
        <v>18</v>
      </c>
      <c r="F116">
        <v>75</v>
      </c>
      <c r="G116">
        <v>100</v>
      </c>
      <c r="H116">
        <v>100</v>
      </c>
      <c r="I116">
        <v>0</v>
      </c>
      <c r="J116">
        <v>0</v>
      </c>
      <c r="K116">
        <v>0</v>
      </c>
      <c r="M116">
        <v>100</v>
      </c>
      <c r="N116">
        <v>62.5</v>
      </c>
      <c r="O116">
        <v>100</v>
      </c>
      <c r="P116">
        <v>100</v>
      </c>
      <c r="Q116">
        <v>100</v>
      </c>
      <c r="R116">
        <v>0</v>
      </c>
      <c r="S116">
        <v>100</v>
      </c>
      <c r="T116">
        <v>0</v>
      </c>
      <c r="V116">
        <v>0</v>
      </c>
      <c r="W116">
        <v>62.5</v>
      </c>
    </row>
    <row r="117" spans="1:43" x14ac:dyDescent="0.25">
      <c r="A117" s="2" t="s">
        <v>432</v>
      </c>
      <c r="B117" s="2" t="s">
        <v>432</v>
      </c>
      <c r="C117" s="2" t="s">
        <v>231</v>
      </c>
      <c r="D117" s="2" t="s">
        <v>28</v>
      </c>
      <c r="E117" s="2" t="s">
        <v>18</v>
      </c>
      <c r="F117" s="2">
        <v>75</v>
      </c>
      <c r="G117" s="2">
        <v>100</v>
      </c>
      <c r="H117" s="2">
        <v>100</v>
      </c>
      <c r="I117" s="2">
        <v>0</v>
      </c>
      <c r="J117" s="2">
        <v>0</v>
      </c>
      <c r="K117" s="2">
        <v>7.5</v>
      </c>
      <c r="L117" s="2"/>
      <c r="M117" s="2">
        <v>100</v>
      </c>
      <c r="N117" s="2">
        <v>77.96874999999994</v>
      </c>
      <c r="O117" s="2">
        <v>66.66666666666666</v>
      </c>
      <c r="P117" s="2">
        <v>100</v>
      </c>
      <c r="Q117" s="2">
        <v>100</v>
      </c>
      <c r="R117" s="2">
        <v>0</v>
      </c>
      <c r="S117" s="2">
        <v>100</v>
      </c>
      <c r="T117" s="2">
        <v>95.8333</v>
      </c>
      <c r="U117" s="2"/>
      <c r="V117" s="2"/>
      <c r="W117" s="2">
        <v>77.96874999999994</v>
      </c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spans="1:43" x14ac:dyDescent="0.25">
      <c r="A118" t="s">
        <v>433</v>
      </c>
      <c r="B118" t="s">
        <v>434</v>
      </c>
      <c r="C118" t="s">
        <v>401</v>
      </c>
      <c r="D118" t="s">
        <v>36</v>
      </c>
      <c r="E118" t="s">
        <v>18</v>
      </c>
      <c r="F118">
        <v>90</v>
      </c>
      <c r="G118">
        <v>100</v>
      </c>
      <c r="H118">
        <v>100</v>
      </c>
      <c r="I118">
        <v>0</v>
      </c>
      <c r="J118">
        <v>100</v>
      </c>
      <c r="K118">
        <v>5.8824</v>
      </c>
      <c r="L118">
        <v>0</v>
      </c>
      <c r="M118">
        <v>100</v>
      </c>
      <c r="N118">
        <v>118.125</v>
      </c>
      <c r="O118">
        <v>66.66666666666666</v>
      </c>
      <c r="P118">
        <v>100</v>
      </c>
      <c r="Q118">
        <v>100</v>
      </c>
      <c r="R118">
        <v>50</v>
      </c>
      <c r="S118">
        <v>1.1062</v>
      </c>
      <c r="T118">
        <v>100</v>
      </c>
      <c r="V118">
        <v>75</v>
      </c>
      <c r="W118">
        <v>106.875</v>
      </c>
    </row>
  </sheetData>
  <autoFilter ref="A1:AQ118"/>
  <conditionalFormatting sqref="F2:F118">
    <cfRule type="cellIs" dxfId="0" priority="1" operator="greaterThanOrEqual">
      <formula>90</formula>
    </cfRule>
    <cfRule type="cellIs" dxfId="1" priority="2" operator="between">
      <formula>80</formula>
      <formula>89.999</formula>
    </cfRule>
    <cfRule type="cellIs" dxfId="2" priority="3" operator="between">
      <formula>70</formula>
      <formula>79.999</formula>
    </cfRule>
    <cfRule type="cellIs" dxfId="3" priority="4" operator="between">
      <formula>60</formula>
      <formula>69.999</formula>
    </cfRule>
    <cfRule type="cellIs" dxfId="4" priority="5" operator="lessThan">
      <formula>60</formula>
    </cfRule>
  </conditionalFormatting>
  <conditionalFormatting sqref="N2:N118">
    <cfRule type="cellIs" dxfId="5" priority="6" operator="greaterThanOrEqual">
      <formula>90</formula>
    </cfRule>
    <cfRule type="cellIs" dxfId="6" priority="7" operator="between">
      <formula>80</formula>
      <formula>89.999</formula>
    </cfRule>
    <cfRule type="cellIs" dxfId="7" priority="8" operator="between">
      <formula>70</formula>
      <formula>79.999</formula>
    </cfRule>
    <cfRule type="cellIs" dxfId="8" priority="9" operator="between">
      <formula>60</formula>
      <formula>69.999</formula>
    </cfRule>
    <cfRule type="cellIs" dxfId="9" priority="10" operator="lessThan">
      <formula>60</formula>
    </cfRule>
  </conditionalFormatting>
  <conditionalFormatting sqref="X2:X118">
    <cfRule type="cellIs" dxfId="10" priority="11" operator="greaterThanOrEqual">
      <formula>90</formula>
    </cfRule>
    <cfRule type="cellIs" dxfId="11" priority="12" operator="between">
      <formula>80</formula>
      <formula>89.999</formula>
    </cfRule>
    <cfRule type="cellIs" dxfId="12" priority="13" operator="between">
      <formula>70</formula>
      <formula>79.999</formula>
    </cfRule>
    <cfRule type="cellIs" dxfId="13" priority="14" operator="between">
      <formula>60</formula>
      <formula>69.999</formula>
    </cfRule>
    <cfRule type="cellIs" dxfId="14" priority="15" operator="lessThan">
      <formula>60</formula>
    </cfRule>
  </conditionalFormatting>
  <conditionalFormatting sqref="AH2:AH118">
    <cfRule type="cellIs" dxfId="15" priority="16" operator="greaterThanOrEqual">
      <formula>90</formula>
    </cfRule>
    <cfRule type="cellIs" dxfId="16" priority="17" operator="between">
      <formula>80</formula>
      <formula>89.999</formula>
    </cfRule>
    <cfRule type="cellIs" dxfId="17" priority="18" operator="between">
      <formula>70</formula>
      <formula>79.999</formula>
    </cfRule>
    <cfRule type="cellIs" dxfId="18" priority="19" operator="between">
      <formula>60</formula>
      <formula>69.999</formula>
    </cfRule>
    <cfRule type="cellIs" dxfId="19" priority="20" operator="lessThan">
      <formula>60</formula>
    </cfRule>
  </conditionalFormatting>
  <dataValidations count="5">
    <dataValidation type="custom" showErrorMessage="1" errorTitle="Invalid Engineer Code" error="Engineer Code is required and must be unique." sqref="A2:A5000">
      <formula1>AND(A2&lt;&gt;"",COUNTIF($A$2:$A$5000,A2)=1)</formula1>
    </dataValidation>
    <dataValidation type="decimal" allowBlank="1" showErrorMessage="1" errorTitle="Invalid score" error="Quarter scores must be between 0 and 200 (bonus finals may exceed 100)." sqref="AH2:AH5000">
      <formula1>0</formula1>
      <formula2>200</formula2>
    </dataValidation>
    <dataValidation type="decimal" allowBlank="1" showErrorMessage="1" errorTitle="Invalid score" error="Quarter scores must be between 0 and 200 (bonus finals may exceed 100)." sqref="F2:F5000">
      <formula1>0</formula1>
      <formula2>200</formula2>
    </dataValidation>
    <dataValidation type="decimal" allowBlank="1" showErrorMessage="1" errorTitle="Invalid score" error="Quarter scores must be between 0 and 200 (bonus finals may exceed 100)." sqref="N2:N5000">
      <formula1>0</formula1>
      <formula2>200</formula2>
    </dataValidation>
    <dataValidation type="decimal" allowBlank="1" showErrorMessage="1" errorTitle="Invalid score" error="Quarter scores must be between 0 and 200 (bonus finals may exceed 100)." sqref="X2:X5000">
      <formula1>0</formula1>
      <formula2>200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3" customWidth="1"/>
    <col min="3" max="3" width="12" customWidth="1"/>
    <col min="4" max="8" width="16" customWidth="1"/>
    <col min="9" max="9" width="14" customWidth="1"/>
    <col min="10" max="10" width="15" customWidth="1"/>
    <col min="11" max="11" width="21" customWidth="1"/>
    <col min="12" max="12" width="13" customWidth="1"/>
  </cols>
  <sheetData>
    <row r="1" ht="28" customHeight="1" spans="1:12" x14ac:dyDescent="0.25">
      <c r="A1" s="1" t="s">
        <v>188</v>
      </c>
      <c r="B1" s="1" t="s">
        <v>189</v>
      </c>
      <c r="C1" s="1" t="s">
        <v>195</v>
      </c>
      <c r="D1" s="3" t="s">
        <v>435</v>
      </c>
      <c r="E1" s="3" t="s">
        <v>443</v>
      </c>
      <c r="F1" s="3" t="s">
        <v>453</v>
      </c>
      <c r="G1" s="3" t="s">
        <v>463</v>
      </c>
      <c r="H1" s="3" t="s">
        <v>473</v>
      </c>
      <c r="I1" s="1" t="s">
        <v>474</v>
      </c>
      <c r="J1" s="1" t="s">
        <v>475</v>
      </c>
      <c r="K1" s="1" t="s">
        <v>476</v>
      </c>
      <c r="L1" s="1" t="s">
        <v>477</v>
      </c>
    </row>
    <row r="2" spans="1:12" x14ac:dyDescent="0.25">
      <c r="A2" t="s">
        <v>196</v>
      </c>
      <c r="B2" t="s">
        <v>197</v>
      </c>
      <c r="C2" t="s">
        <v>173</v>
      </c>
      <c r="D2">
        <f>IF('Quarterly Results'!F2="","",'Quarterly Results'!F2)</f>
      </c>
      <c r="E2">
        <f>IF('Quarterly Results'!N2="","",'Quarterly Results'!N2)</f>
      </c>
      <c r="F2">
        <f>IF('Quarterly Results'!X2="","",'Quarterly Results'!X2)</f>
      </c>
      <c r="G2">
        <f>IF('Quarterly Results'!AH2="","",'Quarterly Results'!AH2)</f>
      </c>
      <c r="H2">
        <f>IFERROR(AVERAGEIF(D2:G2,"&gt;=0"),"")</f>
      </c>
      <c r="I2">
        <f>IF(H2="","",IFERROR(INDEX({"Q1","Q2","Q3","Q4"},MATCH(MAX(D2:G2),D2:G2,0)),""))</f>
      </c>
      <c r="J2">
        <f>IF(H2="","",IFERROR(INDEX({"Q1","Q2","Q3","Q4"},MATCH(AGGREGATE(5,6,D2:G2),D2:G2,0)),""))</f>
      </c>
      <c r="K2">
        <f>IF(OR(D2="",E2=""),"",E2-D2)</f>
      </c>
      <c r="L2">
        <f>IF(H2="","",RANK(H2,$H$2:$H$118,0))</f>
      </c>
    </row>
    <row r="3" spans="1:12" x14ac:dyDescent="0.25">
      <c r="A3" s="2" t="s">
        <v>199</v>
      </c>
      <c r="B3" s="2" t="s">
        <v>200</v>
      </c>
      <c r="C3" s="2" t="s">
        <v>202</v>
      </c>
      <c r="D3" s="2">
        <f>IF('Quarterly Results'!F3="","",'Quarterly Results'!F3)</f>
      </c>
      <c r="E3" s="2">
        <f>IF('Quarterly Results'!N3="","",'Quarterly Results'!N3)</f>
      </c>
      <c r="F3" s="2">
        <f>IF('Quarterly Results'!X3="","",'Quarterly Results'!X3)</f>
      </c>
      <c r="G3" s="2">
        <f>IF('Quarterly Results'!AH3="","",'Quarterly Results'!AH3)</f>
      </c>
      <c r="H3" s="2">
        <f>IFERROR(AVERAGEIF(D3:G3,"&gt;=0"),"")</f>
      </c>
      <c r="I3" s="2">
        <f>IF(H3="","",IFERROR(INDEX({"Q1","Q2","Q3","Q4"},MATCH(MAX(D3:G3),D3:G3,0)),""))</f>
      </c>
      <c r="J3" s="2">
        <f>IF(H3="","",IFERROR(INDEX({"Q1","Q2","Q3","Q4"},MATCH(AGGREGATE(5,6,D3:G3),D3:G3,0)),""))</f>
      </c>
      <c r="K3" s="2">
        <f>IF(OR(D3="",E3=""),"",E3-D3)</f>
      </c>
      <c r="L3" s="2">
        <f>IF(H3="","",RANK(H3,$H$2:$H$118,0))</f>
      </c>
    </row>
    <row r="4" spans="1:12" x14ac:dyDescent="0.25">
      <c r="A4" t="s">
        <v>203</v>
      </c>
      <c r="B4" t="s">
        <v>204</v>
      </c>
      <c r="C4" t="s">
        <v>202</v>
      </c>
      <c r="D4">
        <f>IF('Quarterly Results'!F4="","",'Quarterly Results'!F4)</f>
      </c>
      <c r="E4">
        <f>IF('Quarterly Results'!N4="","",'Quarterly Results'!N4)</f>
      </c>
      <c r="F4">
        <f>IF('Quarterly Results'!X4="","",'Quarterly Results'!X4)</f>
      </c>
      <c r="G4">
        <f>IF('Quarterly Results'!AH4="","",'Quarterly Results'!AH4)</f>
      </c>
      <c r="H4">
        <f>IFERROR(AVERAGEIF(D4:G4,"&gt;=0"),"")</f>
      </c>
      <c r="I4">
        <f>IF(H4="","",IFERROR(INDEX({"Q1","Q2","Q3","Q4"},MATCH(MAX(D4:G4),D4:G4,0)),""))</f>
      </c>
      <c r="J4">
        <f>IF(H4="","",IFERROR(INDEX({"Q1","Q2","Q3","Q4"},MATCH(AGGREGATE(5,6,D4:G4),D4:G4,0)),""))</f>
      </c>
      <c r="K4">
        <f>IF(OR(D4="",E4=""),"",E4-D4)</f>
      </c>
      <c r="L4">
        <f>IF(H4="","",RANK(H4,$H$2:$H$118,0))</f>
      </c>
    </row>
    <row r="5" spans="1:12" x14ac:dyDescent="0.25">
      <c r="A5" s="2" t="s">
        <v>206</v>
      </c>
      <c r="B5" s="2" t="s">
        <v>207</v>
      </c>
      <c r="C5" s="2" t="s">
        <v>173</v>
      </c>
      <c r="D5" s="2">
        <f>IF('Quarterly Results'!F5="","",'Quarterly Results'!F5)</f>
      </c>
      <c r="E5" s="2">
        <f>IF('Quarterly Results'!N5="","",'Quarterly Results'!N5)</f>
      </c>
      <c r="F5" s="2">
        <f>IF('Quarterly Results'!X5="","",'Quarterly Results'!X5)</f>
      </c>
      <c r="G5" s="2">
        <f>IF('Quarterly Results'!AH5="","",'Quarterly Results'!AH5)</f>
      </c>
      <c r="H5" s="2">
        <f>IFERROR(AVERAGEIF(D5:G5,"&gt;=0"),"")</f>
      </c>
      <c r="I5" s="2">
        <f>IF(H5="","",IFERROR(INDEX({"Q1","Q2","Q3","Q4"},MATCH(MAX(D5:G5),D5:G5,0)),""))</f>
      </c>
      <c r="J5" s="2">
        <f>IF(H5="","",IFERROR(INDEX({"Q1","Q2","Q3","Q4"},MATCH(AGGREGATE(5,6,D5:G5),D5:G5,0)),""))</f>
      </c>
      <c r="K5" s="2">
        <f>IF(OR(D5="",E5=""),"",E5-D5)</f>
      </c>
      <c r="L5" s="2">
        <f>IF(H5="","",RANK(H5,$H$2:$H$118,0))</f>
      </c>
    </row>
    <row r="6" spans="1:12" x14ac:dyDescent="0.25">
      <c r="A6" t="s">
        <v>208</v>
      </c>
      <c r="B6" t="s">
        <v>208</v>
      </c>
      <c r="C6" t="s">
        <v>173</v>
      </c>
      <c r="D6">
        <f>IF('Quarterly Results'!F6="","",'Quarterly Results'!F6)</f>
      </c>
      <c r="E6">
        <f>IF('Quarterly Results'!N6="","",'Quarterly Results'!N6)</f>
      </c>
      <c r="F6">
        <f>IF('Quarterly Results'!X6="","",'Quarterly Results'!X6)</f>
      </c>
      <c r="G6">
        <f>IF('Quarterly Results'!AH6="","",'Quarterly Results'!AH6)</f>
      </c>
      <c r="H6">
        <f>IFERROR(AVERAGEIF(D6:G6,"&gt;=0"),"")</f>
      </c>
      <c r="I6">
        <f>IF(H6="","",IFERROR(INDEX({"Q1","Q2","Q3","Q4"},MATCH(MAX(D6:G6),D6:G6,0)),""))</f>
      </c>
      <c r="J6">
        <f>IF(H6="","",IFERROR(INDEX({"Q1","Q2","Q3","Q4"},MATCH(AGGREGATE(5,6,D6:G6),D6:G6,0)),""))</f>
      </c>
      <c r="K6">
        <f>IF(OR(D6="",E6=""),"",E6-D6)</f>
      </c>
      <c r="L6">
        <f>IF(H6="","",RANK(H6,$H$2:$H$118,0))</f>
      </c>
    </row>
    <row r="7" spans="1:12" x14ac:dyDescent="0.25">
      <c r="A7" s="2" t="s">
        <v>209</v>
      </c>
      <c r="B7" s="2" t="s">
        <v>210</v>
      </c>
      <c r="C7" s="2" t="s">
        <v>202</v>
      </c>
      <c r="D7" s="2">
        <f>IF('Quarterly Results'!F7="","",'Quarterly Results'!F7)</f>
      </c>
      <c r="E7" s="2">
        <f>IF('Quarterly Results'!N7="","",'Quarterly Results'!N7)</f>
      </c>
      <c r="F7" s="2">
        <f>IF('Quarterly Results'!X7="","",'Quarterly Results'!X7)</f>
      </c>
      <c r="G7" s="2">
        <f>IF('Quarterly Results'!AH7="","",'Quarterly Results'!AH7)</f>
      </c>
      <c r="H7" s="2">
        <f>IFERROR(AVERAGEIF(D7:G7,"&gt;=0"),"")</f>
      </c>
      <c r="I7" s="2">
        <f>IF(H7="","",IFERROR(INDEX({"Q1","Q2","Q3","Q4"},MATCH(MAX(D7:G7),D7:G7,0)),""))</f>
      </c>
      <c r="J7" s="2">
        <f>IF(H7="","",IFERROR(INDEX({"Q1","Q2","Q3","Q4"},MATCH(AGGREGATE(5,6,D7:G7),D7:G7,0)),""))</f>
      </c>
      <c r="K7" s="2">
        <f>IF(OR(D7="",E7=""),"",E7-D7)</f>
      </c>
      <c r="L7" s="2">
        <f>IF(H7="","",RANK(H7,$H$2:$H$118,0))</f>
      </c>
    </row>
    <row r="8" spans="1:12" x14ac:dyDescent="0.25">
      <c r="A8" t="s">
        <v>212</v>
      </c>
      <c r="B8" t="s">
        <v>212</v>
      </c>
      <c r="C8" t="s">
        <v>173</v>
      </c>
      <c r="D8">
        <f>IF('Quarterly Results'!F8="","",'Quarterly Results'!F8)</f>
      </c>
      <c r="E8">
        <f>IF('Quarterly Results'!N8="","",'Quarterly Results'!N8)</f>
      </c>
      <c r="F8">
        <f>IF('Quarterly Results'!X8="","",'Quarterly Results'!X8)</f>
      </c>
      <c r="G8">
        <f>IF('Quarterly Results'!AH8="","",'Quarterly Results'!AH8)</f>
      </c>
      <c r="H8">
        <f>IFERROR(AVERAGEIF(D8:G8,"&gt;=0"),"")</f>
      </c>
      <c r="I8">
        <f>IF(H8="","",IFERROR(INDEX({"Q1","Q2","Q3","Q4"},MATCH(MAX(D8:G8),D8:G8,0)),""))</f>
      </c>
      <c r="J8">
        <f>IF(H8="","",IFERROR(INDEX({"Q1","Q2","Q3","Q4"},MATCH(AGGREGATE(5,6,D8:G8),D8:G8,0)),""))</f>
      </c>
      <c r="K8">
        <f>IF(OR(D8="",E8=""),"",E8-D8)</f>
      </c>
      <c r="L8">
        <f>IF(H8="","",RANK(H8,$H$2:$H$118,0))</f>
      </c>
    </row>
    <row r="9" spans="1:12" x14ac:dyDescent="0.25">
      <c r="A9" s="2" t="s">
        <v>214</v>
      </c>
      <c r="B9" s="2" t="s">
        <v>215</v>
      </c>
      <c r="C9" s="2" t="s">
        <v>173</v>
      </c>
      <c r="D9" s="2">
        <f>IF('Quarterly Results'!F9="","",'Quarterly Results'!F9)</f>
      </c>
      <c r="E9" s="2">
        <f>IF('Quarterly Results'!N9="","",'Quarterly Results'!N9)</f>
      </c>
      <c r="F9" s="2">
        <f>IF('Quarterly Results'!X9="","",'Quarterly Results'!X9)</f>
      </c>
      <c r="G9" s="2">
        <f>IF('Quarterly Results'!AH9="","",'Quarterly Results'!AH9)</f>
      </c>
      <c r="H9" s="2">
        <f>IFERROR(AVERAGEIF(D9:G9,"&gt;=0"),"")</f>
      </c>
      <c r="I9" s="2">
        <f>IF(H9="","",IFERROR(INDEX({"Q1","Q2","Q3","Q4"},MATCH(MAX(D9:G9),D9:G9,0)),""))</f>
      </c>
      <c r="J9" s="2">
        <f>IF(H9="","",IFERROR(INDEX({"Q1","Q2","Q3","Q4"},MATCH(AGGREGATE(5,6,D9:G9),D9:G9,0)),""))</f>
      </c>
      <c r="K9" s="2">
        <f>IF(OR(D9="",E9=""),"",E9-D9)</f>
      </c>
      <c r="L9" s="2">
        <f>IF(H9="","",RANK(H9,$H$2:$H$118,0))</f>
      </c>
    </row>
    <row r="10" spans="1:12" x14ac:dyDescent="0.25">
      <c r="A10" t="s">
        <v>217</v>
      </c>
      <c r="B10" t="s">
        <v>218</v>
      </c>
      <c r="C10" t="s">
        <v>173</v>
      </c>
      <c r="D10">
        <f>IF('Quarterly Results'!F10="","",'Quarterly Results'!F10)</f>
      </c>
      <c r="E10">
        <f>IF('Quarterly Results'!N10="","",'Quarterly Results'!N10)</f>
      </c>
      <c r="F10">
        <f>IF('Quarterly Results'!X10="","",'Quarterly Results'!X10)</f>
      </c>
      <c r="G10">
        <f>IF('Quarterly Results'!AH10="","",'Quarterly Results'!AH10)</f>
      </c>
      <c r="H10">
        <f>IFERROR(AVERAGEIF(D10:G10,"&gt;=0"),"")</f>
      </c>
      <c r="I10">
        <f>IF(H10="","",IFERROR(INDEX({"Q1","Q2","Q3","Q4"},MATCH(MAX(D10:G10),D10:G10,0)),""))</f>
      </c>
      <c r="J10">
        <f>IF(H10="","",IFERROR(INDEX({"Q1","Q2","Q3","Q4"},MATCH(AGGREGATE(5,6,D10:G10),D10:G10,0)),""))</f>
      </c>
      <c r="K10">
        <f>IF(OR(D10="",E10=""),"",E10-D10)</f>
      </c>
      <c r="L10">
        <f>IF(H10="","",RANK(H10,$H$2:$H$118,0))</f>
      </c>
    </row>
    <row r="11" spans="1:12" x14ac:dyDescent="0.25">
      <c r="A11" s="2" t="s">
        <v>219</v>
      </c>
      <c r="B11" s="2" t="s">
        <v>220</v>
      </c>
      <c r="C11" s="2" t="s">
        <v>222</v>
      </c>
      <c r="D11" s="2">
        <f>IF('Quarterly Results'!F11="","",'Quarterly Results'!F11)</f>
      </c>
      <c r="E11" s="2">
        <f>IF('Quarterly Results'!N11="","",'Quarterly Results'!N11)</f>
      </c>
      <c r="F11" s="2">
        <f>IF('Quarterly Results'!X11="","",'Quarterly Results'!X11)</f>
      </c>
      <c r="G11" s="2">
        <f>IF('Quarterly Results'!AH11="","",'Quarterly Results'!AH11)</f>
      </c>
      <c r="H11" s="2">
        <f>IFERROR(AVERAGEIF(D11:G11,"&gt;=0"),"")</f>
      </c>
      <c r="I11" s="2">
        <f>IF(H11="","",IFERROR(INDEX({"Q1","Q2","Q3","Q4"},MATCH(MAX(D11:G11),D11:G11,0)),""))</f>
      </c>
      <c r="J11" s="2">
        <f>IF(H11="","",IFERROR(INDEX({"Q1","Q2","Q3","Q4"},MATCH(AGGREGATE(5,6,D11:G11),D11:G11,0)),""))</f>
      </c>
      <c r="K11" s="2">
        <f>IF(OR(D11="",E11=""),"",E11-D11)</f>
      </c>
      <c r="L11" s="2">
        <f>IF(H11="","",RANK(H11,$H$2:$H$118,0))</f>
      </c>
    </row>
    <row r="12" spans="1:12" x14ac:dyDescent="0.25">
      <c r="A12" t="s">
        <v>223</v>
      </c>
      <c r="B12" t="s">
        <v>224</v>
      </c>
      <c r="C12" t="s">
        <v>202</v>
      </c>
      <c r="D12">
        <f>IF('Quarterly Results'!F12="","",'Quarterly Results'!F12)</f>
      </c>
      <c r="E12">
        <f>IF('Quarterly Results'!N12="","",'Quarterly Results'!N12)</f>
      </c>
      <c r="F12">
        <f>IF('Quarterly Results'!X12="","",'Quarterly Results'!X12)</f>
      </c>
      <c r="G12">
        <f>IF('Quarterly Results'!AH12="","",'Quarterly Results'!AH12)</f>
      </c>
      <c r="H12">
        <f>IFERROR(AVERAGEIF(D12:G12,"&gt;=0"),"")</f>
      </c>
      <c r="I12">
        <f>IF(H12="","",IFERROR(INDEX({"Q1","Q2","Q3","Q4"},MATCH(MAX(D12:G12),D12:G12,0)),""))</f>
      </c>
      <c r="J12">
        <f>IF(H12="","",IFERROR(INDEX({"Q1","Q2","Q3","Q4"},MATCH(AGGREGATE(5,6,D12:G12),D12:G12,0)),""))</f>
      </c>
      <c r="K12">
        <f>IF(OR(D12="",E12=""),"",E12-D12)</f>
      </c>
      <c r="L12">
        <f>IF(H12="","",RANK(H12,$H$2:$H$118,0))</f>
      </c>
    </row>
    <row r="13" spans="1:12" x14ac:dyDescent="0.25">
      <c r="A13" s="2" t="s">
        <v>225</v>
      </c>
      <c r="B13" s="2" t="s">
        <v>226</v>
      </c>
      <c r="C13" s="2" t="s">
        <v>173</v>
      </c>
      <c r="D13" s="2">
        <f>IF('Quarterly Results'!F13="","",'Quarterly Results'!F13)</f>
      </c>
      <c r="E13" s="2">
        <f>IF('Quarterly Results'!N13="","",'Quarterly Results'!N13)</f>
      </c>
      <c r="F13" s="2">
        <f>IF('Quarterly Results'!X13="","",'Quarterly Results'!X13)</f>
      </c>
      <c r="G13" s="2">
        <f>IF('Quarterly Results'!AH13="","",'Quarterly Results'!AH13)</f>
      </c>
      <c r="H13" s="2">
        <f>IFERROR(AVERAGEIF(D13:G13,"&gt;=0"),"")</f>
      </c>
      <c r="I13" s="2">
        <f>IF(H13="","",IFERROR(INDEX({"Q1","Q2","Q3","Q4"},MATCH(MAX(D13:G13),D13:G13,0)),""))</f>
      </c>
      <c r="J13" s="2">
        <f>IF(H13="","",IFERROR(INDEX({"Q1","Q2","Q3","Q4"},MATCH(AGGREGATE(5,6,D13:G13),D13:G13,0)),""))</f>
      </c>
      <c r="K13" s="2">
        <f>IF(OR(D13="",E13=""),"",E13-D13)</f>
      </c>
      <c r="L13" s="2">
        <f>IF(H13="","",RANK(H13,$H$2:$H$118,0))</f>
      </c>
    </row>
    <row r="14" spans="1:12" x14ac:dyDescent="0.25">
      <c r="A14" t="s">
        <v>227</v>
      </c>
      <c r="B14" t="s">
        <v>228</v>
      </c>
      <c r="C14" t="s">
        <v>202</v>
      </c>
      <c r="D14">
        <f>IF('Quarterly Results'!F14="","",'Quarterly Results'!F14)</f>
      </c>
      <c r="E14">
        <f>IF('Quarterly Results'!N14="","",'Quarterly Results'!N14)</f>
      </c>
      <c r="F14">
        <f>IF('Quarterly Results'!X14="","",'Quarterly Results'!X14)</f>
      </c>
      <c r="G14">
        <f>IF('Quarterly Results'!AH14="","",'Quarterly Results'!AH14)</f>
      </c>
      <c r="H14">
        <f>IFERROR(AVERAGEIF(D14:G14,"&gt;=0"),"")</f>
      </c>
      <c r="I14">
        <f>IF(H14="","",IFERROR(INDEX({"Q1","Q2","Q3","Q4"},MATCH(MAX(D14:G14),D14:G14,0)),""))</f>
      </c>
      <c r="J14">
        <f>IF(H14="","",IFERROR(INDEX({"Q1","Q2","Q3","Q4"},MATCH(AGGREGATE(5,6,D14:G14),D14:G14,0)),""))</f>
      </c>
      <c r="K14">
        <f>IF(OR(D14="",E14=""),"",E14-D14)</f>
      </c>
      <c r="L14">
        <f>IF(H14="","",RANK(H14,$H$2:$H$118,0))</f>
      </c>
    </row>
    <row r="15" spans="1:12" x14ac:dyDescent="0.25">
      <c r="A15" s="2" t="s">
        <v>229</v>
      </c>
      <c r="B15" s="2" t="s">
        <v>230</v>
      </c>
      <c r="C15" s="2" t="s">
        <v>173</v>
      </c>
      <c r="D15" s="2">
        <f>IF('Quarterly Results'!F15="","",'Quarterly Results'!F15)</f>
      </c>
      <c r="E15" s="2">
        <f>IF('Quarterly Results'!N15="","",'Quarterly Results'!N15)</f>
      </c>
      <c r="F15" s="2">
        <f>IF('Quarterly Results'!X15="","",'Quarterly Results'!X15)</f>
      </c>
      <c r="G15" s="2">
        <f>IF('Quarterly Results'!AH15="","",'Quarterly Results'!AH15)</f>
      </c>
      <c r="H15" s="2">
        <f>IFERROR(AVERAGEIF(D15:G15,"&gt;=0"),"")</f>
      </c>
      <c r="I15" s="2">
        <f>IF(H15="","",IFERROR(INDEX({"Q1","Q2","Q3","Q4"},MATCH(MAX(D15:G15),D15:G15,0)),""))</f>
      </c>
      <c r="J15" s="2">
        <f>IF(H15="","",IFERROR(INDEX({"Q1","Q2","Q3","Q4"},MATCH(AGGREGATE(5,6,D15:G15),D15:G15,0)),""))</f>
      </c>
      <c r="K15" s="2">
        <f>IF(OR(D15="",E15=""),"",E15-D15)</f>
      </c>
      <c r="L15" s="2">
        <f>IF(H15="","",RANK(H15,$H$2:$H$118,0))</f>
      </c>
    </row>
    <row r="16" spans="1:12" x14ac:dyDescent="0.25">
      <c r="A16" t="s">
        <v>232</v>
      </c>
      <c r="B16" t="s">
        <v>207</v>
      </c>
      <c r="C16" t="s">
        <v>202</v>
      </c>
      <c r="D16">
        <f>IF('Quarterly Results'!F16="","",'Quarterly Results'!F16)</f>
      </c>
      <c r="E16">
        <f>IF('Quarterly Results'!N16="","",'Quarterly Results'!N16)</f>
      </c>
      <c r="F16">
        <f>IF('Quarterly Results'!X16="","",'Quarterly Results'!X16)</f>
      </c>
      <c r="G16">
        <f>IF('Quarterly Results'!AH16="","",'Quarterly Results'!AH16)</f>
      </c>
      <c r="H16">
        <f>IFERROR(AVERAGEIF(D16:G16,"&gt;=0"),"")</f>
      </c>
      <c r="I16">
        <f>IF(H16="","",IFERROR(INDEX({"Q1","Q2","Q3","Q4"},MATCH(MAX(D16:G16),D16:G16,0)),""))</f>
      </c>
      <c r="J16">
        <f>IF(H16="","",IFERROR(INDEX({"Q1","Q2","Q3","Q4"},MATCH(AGGREGATE(5,6,D16:G16),D16:G16,0)),""))</f>
      </c>
      <c r="K16">
        <f>IF(OR(D16="",E16=""),"",E16-D16)</f>
      </c>
      <c r="L16">
        <f>IF(H16="","",RANK(H16,$H$2:$H$118,0))</f>
      </c>
    </row>
    <row r="17" spans="1:12" x14ac:dyDescent="0.25">
      <c r="A17" s="2" t="s">
        <v>233</v>
      </c>
      <c r="B17" s="2" t="s">
        <v>234</v>
      </c>
      <c r="C17" s="2" t="s">
        <v>202</v>
      </c>
      <c r="D17" s="2">
        <f>IF('Quarterly Results'!F17="","",'Quarterly Results'!F17)</f>
      </c>
      <c r="E17" s="2">
        <f>IF('Quarterly Results'!N17="","",'Quarterly Results'!N17)</f>
      </c>
      <c r="F17" s="2">
        <f>IF('Quarterly Results'!X17="","",'Quarterly Results'!X17)</f>
      </c>
      <c r="G17" s="2">
        <f>IF('Quarterly Results'!AH17="","",'Quarterly Results'!AH17)</f>
      </c>
      <c r="H17" s="2">
        <f>IFERROR(AVERAGEIF(D17:G17,"&gt;=0"),"")</f>
      </c>
      <c r="I17" s="2">
        <f>IF(H17="","",IFERROR(INDEX({"Q1","Q2","Q3","Q4"},MATCH(MAX(D17:G17),D17:G17,0)),""))</f>
      </c>
      <c r="J17" s="2">
        <f>IF(H17="","",IFERROR(INDEX({"Q1","Q2","Q3","Q4"},MATCH(AGGREGATE(5,6,D17:G17),D17:G17,0)),""))</f>
      </c>
      <c r="K17" s="2">
        <f>IF(OR(D17="",E17=""),"",E17-D17)</f>
      </c>
      <c r="L17" s="2">
        <f>IF(H17="","",RANK(H17,$H$2:$H$118,0))</f>
      </c>
    </row>
    <row r="18" spans="1:12" x14ac:dyDescent="0.25">
      <c r="A18" t="s">
        <v>235</v>
      </c>
      <c r="B18" t="s">
        <v>235</v>
      </c>
      <c r="C18" t="s">
        <v>202</v>
      </c>
      <c r="D18">
        <f>IF('Quarterly Results'!F18="","",'Quarterly Results'!F18)</f>
      </c>
      <c r="E18">
        <f>IF('Quarterly Results'!N18="","",'Quarterly Results'!N18)</f>
      </c>
      <c r="F18">
        <f>IF('Quarterly Results'!X18="","",'Quarterly Results'!X18)</f>
      </c>
      <c r="G18">
        <f>IF('Quarterly Results'!AH18="","",'Quarterly Results'!AH18)</f>
      </c>
      <c r="H18">
        <f>IFERROR(AVERAGEIF(D18:G18,"&gt;=0"),"")</f>
      </c>
      <c r="I18">
        <f>IF(H18="","",IFERROR(INDEX({"Q1","Q2","Q3","Q4"},MATCH(MAX(D18:G18),D18:G18,0)),""))</f>
      </c>
      <c r="J18">
        <f>IF(H18="","",IFERROR(INDEX({"Q1","Q2","Q3","Q4"},MATCH(AGGREGATE(5,6,D18:G18),D18:G18,0)),""))</f>
      </c>
      <c r="K18">
        <f>IF(OR(D18="",E18=""),"",E18-D18)</f>
      </c>
      <c r="L18">
        <f>IF(H18="","",RANK(H18,$H$2:$H$118,0))</f>
      </c>
    </row>
    <row r="19" spans="1:12" x14ac:dyDescent="0.25">
      <c r="A19" s="2" t="s">
        <v>236</v>
      </c>
      <c r="B19" s="2" t="s">
        <v>237</v>
      </c>
      <c r="C19" s="2" t="s">
        <v>173</v>
      </c>
      <c r="D19" s="2">
        <f>IF('Quarterly Results'!F19="","",'Quarterly Results'!F19)</f>
      </c>
      <c r="E19" s="2">
        <f>IF('Quarterly Results'!N19="","",'Quarterly Results'!N19)</f>
      </c>
      <c r="F19" s="2">
        <f>IF('Quarterly Results'!X19="","",'Quarterly Results'!X19)</f>
      </c>
      <c r="G19" s="2">
        <f>IF('Quarterly Results'!AH19="","",'Quarterly Results'!AH19)</f>
      </c>
      <c r="H19" s="2">
        <f>IFERROR(AVERAGEIF(D19:G19,"&gt;=0"),"")</f>
      </c>
      <c r="I19" s="2">
        <f>IF(H19="","",IFERROR(INDEX({"Q1","Q2","Q3","Q4"},MATCH(MAX(D19:G19),D19:G19,0)),""))</f>
      </c>
      <c r="J19" s="2">
        <f>IF(H19="","",IFERROR(INDEX({"Q1","Q2","Q3","Q4"},MATCH(AGGREGATE(5,6,D19:G19),D19:G19,0)),""))</f>
      </c>
      <c r="K19" s="2">
        <f>IF(OR(D19="",E19=""),"",E19-D19)</f>
      </c>
      <c r="L19" s="2">
        <f>IF(H19="","",RANK(H19,$H$2:$H$118,0))</f>
      </c>
    </row>
    <row r="20" spans="1:12" x14ac:dyDescent="0.25">
      <c r="A20" t="s">
        <v>239</v>
      </c>
      <c r="B20" t="s">
        <v>240</v>
      </c>
      <c r="C20" t="s">
        <v>202</v>
      </c>
      <c r="D20">
        <f>IF('Quarterly Results'!F20="","",'Quarterly Results'!F20)</f>
      </c>
      <c r="E20">
        <f>IF('Quarterly Results'!N20="","",'Quarterly Results'!N20)</f>
      </c>
      <c r="F20">
        <f>IF('Quarterly Results'!X20="","",'Quarterly Results'!X20)</f>
      </c>
      <c r="G20">
        <f>IF('Quarterly Results'!AH20="","",'Quarterly Results'!AH20)</f>
      </c>
      <c r="H20">
        <f>IFERROR(AVERAGEIF(D20:G20,"&gt;=0"),"")</f>
      </c>
      <c r="I20">
        <f>IF(H20="","",IFERROR(INDEX({"Q1","Q2","Q3","Q4"},MATCH(MAX(D20:G20),D20:G20,0)),""))</f>
      </c>
      <c r="J20">
        <f>IF(H20="","",IFERROR(INDEX({"Q1","Q2","Q3","Q4"},MATCH(AGGREGATE(5,6,D20:G20),D20:G20,0)),""))</f>
      </c>
      <c r="K20">
        <f>IF(OR(D20="",E20=""),"",E20-D20)</f>
      </c>
      <c r="L20">
        <f>IF(H20="","",RANK(H20,$H$2:$H$118,0))</f>
      </c>
    </row>
    <row r="21" spans="1:12" x14ac:dyDescent="0.25">
      <c r="A21" s="2" t="s">
        <v>241</v>
      </c>
      <c r="B21" s="2" t="s">
        <v>242</v>
      </c>
      <c r="C21" s="2" t="s">
        <v>202</v>
      </c>
      <c r="D21" s="2">
        <f>IF('Quarterly Results'!F21="","",'Quarterly Results'!F21)</f>
      </c>
      <c r="E21" s="2">
        <f>IF('Quarterly Results'!N21="","",'Quarterly Results'!N21)</f>
      </c>
      <c r="F21" s="2">
        <f>IF('Quarterly Results'!X21="","",'Quarterly Results'!X21)</f>
      </c>
      <c r="G21" s="2">
        <f>IF('Quarterly Results'!AH21="","",'Quarterly Results'!AH21)</f>
      </c>
      <c r="H21" s="2">
        <f>IFERROR(AVERAGEIF(D21:G21,"&gt;=0"),"")</f>
      </c>
      <c r="I21" s="2">
        <f>IF(H21="","",IFERROR(INDEX({"Q1","Q2","Q3","Q4"},MATCH(MAX(D21:G21),D21:G21,0)),""))</f>
      </c>
      <c r="J21" s="2">
        <f>IF(H21="","",IFERROR(INDEX({"Q1","Q2","Q3","Q4"},MATCH(AGGREGATE(5,6,D21:G21),D21:G21,0)),""))</f>
      </c>
      <c r="K21" s="2">
        <f>IF(OR(D21="",E21=""),"",E21-D21)</f>
      </c>
      <c r="L21" s="2">
        <f>IF(H21="","",RANK(H21,$H$2:$H$118,0))</f>
      </c>
    </row>
    <row r="22" spans="1:12" x14ac:dyDescent="0.25">
      <c r="A22" t="s">
        <v>244</v>
      </c>
      <c r="B22" t="s">
        <v>245</v>
      </c>
      <c r="C22" t="s">
        <v>202</v>
      </c>
      <c r="D22">
        <f>IF('Quarterly Results'!F22="","",'Quarterly Results'!F22)</f>
      </c>
      <c r="E22">
        <f>IF('Quarterly Results'!N22="","",'Quarterly Results'!N22)</f>
      </c>
      <c r="F22">
        <f>IF('Quarterly Results'!X22="","",'Quarterly Results'!X22)</f>
      </c>
      <c r="G22">
        <f>IF('Quarterly Results'!AH22="","",'Quarterly Results'!AH22)</f>
      </c>
      <c r="H22">
        <f>IFERROR(AVERAGEIF(D22:G22,"&gt;=0"),"")</f>
      </c>
      <c r="I22">
        <f>IF(H22="","",IFERROR(INDEX({"Q1","Q2","Q3","Q4"},MATCH(MAX(D22:G22),D22:G22,0)),""))</f>
      </c>
      <c r="J22">
        <f>IF(H22="","",IFERROR(INDEX({"Q1","Q2","Q3","Q4"},MATCH(AGGREGATE(5,6,D22:G22),D22:G22,0)),""))</f>
      </c>
      <c r="K22">
        <f>IF(OR(D22="",E22=""),"",E22-D22)</f>
      </c>
      <c r="L22">
        <f>IF(H22="","",RANK(H22,$H$2:$H$118,0))</f>
      </c>
    </row>
    <row r="23" spans="1:12" x14ac:dyDescent="0.25">
      <c r="A23" s="2" t="s">
        <v>246</v>
      </c>
      <c r="B23" s="2" t="s">
        <v>247</v>
      </c>
      <c r="C23" s="2" t="s">
        <v>202</v>
      </c>
      <c r="D23" s="2">
        <f>IF('Quarterly Results'!F23="","",'Quarterly Results'!F23)</f>
      </c>
      <c r="E23" s="2">
        <f>IF('Quarterly Results'!N23="","",'Quarterly Results'!N23)</f>
      </c>
      <c r="F23" s="2">
        <f>IF('Quarterly Results'!X23="","",'Quarterly Results'!X23)</f>
      </c>
      <c r="G23" s="2">
        <f>IF('Quarterly Results'!AH23="","",'Quarterly Results'!AH23)</f>
      </c>
      <c r="H23" s="2">
        <f>IFERROR(AVERAGEIF(D23:G23,"&gt;=0"),"")</f>
      </c>
      <c r="I23" s="2">
        <f>IF(H23="","",IFERROR(INDEX({"Q1","Q2","Q3","Q4"},MATCH(MAX(D23:G23),D23:G23,0)),""))</f>
      </c>
      <c r="J23" s="2">
        <f>IF(H23="","",IFERROR(INDEX({"Q1","Q2","Q3","Q4"},MATCH(AGGREGATE(5,6,D23:G23),D23:G23,0)),""))</f>
      </c>
      <c r="K23" s="2">
        <f>IF(OR(D23="",E23=""),"",E23-D23)</f>
      </c>
      <c r="L23" s="2">
        <f>IF(H23="","",RANK(H23,$H$2:$H$118,0))</f>
      </c>
    </row>
    <row r="24" spans="1:12" x14ac:dyDescent="0.25">
      <c r="A24" t="s">
        <v>248</v>
      </c>
      <c r="B24" t="s">
        <v>249</v>
      </c>
      <c r="C24" t="s">
        <v>202</v>
      </c>
      <c r="D24">
        <f>IF('Quarterly Results'!F24="","",'Quarterly Results'!F24)</f>
      </c>
      <c r="E24">
        <f>IF('Quarterly Results'!N24="","",'Quarterly Results'!N24)</f>
      </c>
      <c r="F24">
        <f>IF('Quarterly Results'!X24="","",'Quarterly Results'!X24)</f>
      </c>
      <c r="G24">
        <f>IF('Quarterly Results'!AH24="","",'Quarterly Results'!AH24)</f>
      </c>
      <c r="H24">
        <f>IFERROR(AVERAGEIF(D24:G24,"&gt;=0"),"")</f>
      </c>
      <c r="I24">
        <f>IF(H24="","",IFERROR(INDEX({"Q1","Q2","Q3","Q4"},MATCH(MAX(D24:G24),D24:G24,0)),""))</f>
      </c>
      <c r="J24">
        <f>IF(H24="","",IFERROR(INDEX({"Q1","Q2","Q3","Q4"},MATCH(AGGREGATE(5,6,D24:G24),D24:G24,0)),""))</f>
      </c>
      <c r="K24">
        <f>IF(OR(D24="",E24=""),"",E24-D24)</f>
      </c>
      <c r="L24">
        <f>IF(H24="","",RANK(H24,$H$2:$H$118,0))</f>
      </c>
    </row>
    <row r="25" spans="1:12" x14ac:dyDescent="0.25">
      <c r="A25" s="2" t="s">
        <v>250</v>
      </c>
      <c r="B25" s="2" t="s">
        <v>251</v>
      </c>
      <c r="C25" s="2" t="s">
        <v>173</v>
      </c>
      <c r="D25" s="2">
        <f>IF('Quarterly Results'!F25="","",'Quarterly Results'!F25)</f>
      </c>
      <c r="E25" s="2">
        <f>IF('Quarterly Results'!N25="","",'Quarterly Results'!N25)</f>
      </c>
      <c r="F25" s="2">
        <f>IF('Quarterly Results'!X25="","",'Quarterly Results'!X25)</f>
      </c>
      <c r="G25" s="2">
        <f>IF('Quarterly Results'!AH25="","",'Quarterly Results'!AH25)</f>
      </c>
      <c r="H25" s="2">
        <f>IFERROR(AVERAGEIF(D25:G25,"&gt;=0"),"")</f>
      </c>
      <c r="I25" s="2">
        <f>IF(H25="","",IFERROR(INDEX({"Q1","Q2","Q3","Q4"},MATCH(MAX(D25:G25),D25:G25,0)),""))</f>
      </c>
      <c r="J25" s="2">
        <f>IF(H25="","",IFERROR(INDEX({"Q1","Q2","Q3","Q4"},MATCH(AGGREGATE(5,6,D25:G25),D25:G25,0)),""))</f>
      </c>
      <c r="K25" s="2">
        <f>IF(OR(D25="",E25=""),"",E25-D25)</f>
      </c>
      <c r="L25" s="2">
        <f>IF(H25="","",RANK(H25,$H$2:$H$118,0))</f>
      </c>
    </row>
    <row r="26" spans="1:12" x14ac:dyDescent="0.25">
      <c r="A26" t="s">
        <v>253</v>
      </c>
      <c r="B26" t="s">
        <v>254</v>
      </c>
      <c r="C26" t="s">
        <v>202</v>
      </c>
      <c r="D26">
        <f>IF('Quarterly Results'!F26="","",'Quarterly Results'!F26)</f>
      </c>
      <c r="E26">
        <f>IF('Quarterly Results'!N26="","",'Quarterly Results'!N26)</f>
      </c>
      <c r="F26">
        <f>IF('Quarterly Results'!X26="","",'Quarterly Results'!X26)</f>
      </c>
      <c r="G26">
        <f>IF('Quarterly Results'!AH26="","",'Quarterly Results'!AH26)</f>
      </c>
      <c r="H26">
        <f>IFERROR(AVERAGEIF(D26:G26,"&gt;=0"),"")</f>
      </c>
      <c r="I26">
        <f>IF(H26="","",IFERROR(INDEX({"Q1","Q2","Q3","Q4"},MATCH(MAX(D26:G26),D26:G26,0)),""))</f>
      </c>
      <c r="J26">
        <f>IF(H26="","",IFERROR(INDEX({"Q1","Q2","Q3","Q4"},MATCH(AGGREGATE(5,6,D26:G26),D26:G26,0)),""))</f>
      </c>
      <c r="K26">
        <f>IF(OR(D26="",E26=""),"",E26-D26)</f>
      </c>
      <c r="L26">
        <f>IF(H26="","",RANK(H26,$H$2:$H$118,0))</f>
      </c>
    </row>
    <row r="27" spans="1:12" x14ac:dyDescent="0.25">
      <c r="A27" s="2" t="s">
        <v>255</v>
      </c>
      <c r="B27" s="2" t="s">
        <v>256</v>
      </c>
      <c r="C27" s="2" t="s">
        <v>173</v>
      </c>
      <c r="D27" s="2">
        <f>IF('Quarterly Results'!F27="","",'Quarterly Results'!F27)</f>
      </c>
      <c r="E27" s="2">
        <f>IF('Quarterly Results'!N27="","",'Quarterly Results'!N27)</f>
      </c>
      <c r="F27" s="2">
        <f>IF('Quarterly Results'!X27="","",'Quarterly Results'!X27)</f>
      </c>
      <c r="G27" s="2">
        <f>IF('Quarterly Results'!AH27="","",'Quarterly Results'!AH27)</f>
      </c>
      <c r="H27" s="2">
        <f>IFERROR(AVERAGEIF(D27:G27,"&gt;=0"),"")</f>
      </c>
      <c r="I27" s="2">
        <f>IF(H27="","",IFERROR(INDEX({"Q1","Q2","Q3","Q4"},MATCH(MAX(D27:G27),D27:G27,0)),""))</f>
      </c>
      <c r="J27" s="2">
        <f>IF(H27="","",IFERROR(INDEX({"Q1","Q2","Q3","Q4"},MATCH(AGGREGATE(5,6,D27:G27),D27:G27,0)),""))</f>
      </c>
      <c r="K27" s="2">
        <f>IF(OR(D27="",E27=""),"",E27-D27)</f>
      </c>
      <c r="L27" s="2">
        <f>IF(H27="","",RANK(H27,$H$2:$H$118,0))</f>
      </c>
    </row>
    <row r="28" spans="1:12" x14ac:dyDescent="0.25">
      <c r="A28" t="s">
        <v>258</v>
      </c>
      <c r="B28" t="s">
        <v>259</v>
      </c>
      <c r="C28" t="s">
        <v>202</v>
      </c>
      <c r="D28">
        <f>IF('Quarterly Results'!F28="","",'Quarterly Results'!F28)</f>
      </c>
      <c r="E28">
        <f>IF('Quarterly Results'!N28="","",'Quarterly Results'!N28)</f>
      </c>
      <c r="F28">
        <f>IF('Quarterly Results'!X28="","",'Quarterly Results'!X28)</f>
      </c>
      <c r="G28">
        <f>IF('Quarterly Results'!AH28="","",'Quarterly Results'!AH28)</f>
      </c>
      <c r="H28">
        <f>IFERROR(AVERAGEIF(D28:G28,"&gt;=0"),"")</f>
      </c>
      <c r="I28">
        <f>IF(H28="","",IFERROR(INDEX({"Q1","Q2","Q3","Q4"},MATCH(MAX(D28:G28),D28:G28,0)),""))</f>
      </c>
      <c r="J28">
        <f>IF(H28="","",IFERROR(INDEX({"Q1","Q2","Q3","Q4"},MATCH(AGGREGATE(5,6,D28:G28),D28:G28,0)),""))</f>
      </c>
      <c r="K28">
        <f>IF(OR(D28="",E28=""),"",E28-D28)</f>
      </c>
      <c r="L28">
        <f>IF(H28="","",RANK(H28,$H$2:$H$118,0))</f>
      </c>
    </row>
    <row r="29" spans="1:12" x14ac:dyDescent="0.25">
      <c r="A29" s="2" t="s">
        <v>260</v>
      </c>
      <c r="B29" s="2" t="s">
        <v>261</v>
      </c>
      <c r="C29" s="2" t="s">
        <v>173</v>
      </c>
      <c r="D29" s="2">
        <f>IF('Quarterly Results'!F29="","",'Quarterly Results'!F29)</f>
      </c>
      <c r="E29" s="2">
        <f>IF('Quarterly Results'!N29="","",'Quarterly Results'!N29)</f>
      </c>
      <c r="F29" s="2">
        <f>IF('Quarterly Results'!X29="","",'Quarterly Results'!X29)</f>
      </c>
      <c r="G29" s="2">
        <f>IF('Quarterly Results'!AH29="","",'Quarterly Results'!AH29)</f>
      </c>
      <c r="H29" s="2">
        <f>IFERROR(AVERAGEIF(D29:G29,"&gt;=0"),"")</f>
      </c>
      <c r="I29" s="2">
        <f>IF(H29="","",IFERROR(INDEX({"Q1","Q2","Q3","Q4"},MATCH(MAX(D29:G29),D29:G29,0)),""))</f>
      </c>
      <c r="J29" s="2">
        <f>IF(H29="","",IFERROR(INDEX({"Q1","Q2","Q3","Q4"},MATCH(AGGREGATE(5,6,D29:G29),D29:G29,0)),""))</f>
      </c>
      <c r="K29" s="2">
        <f>IF(OR(D29="",E29=""),"",E29-D29)</f>
      </c>
      <c r="L29" s="2">
        <f>IF(H29="","",RANK(H29,$H$2:$H$118,0))</f>
      </c>
    </row>
    <row r="30" spans="1:12" x14ac:dyDescent="0.25">
      <c r="A30" t="s">
        <v>262</v>
      </c>
      <c r="B30" t="s">
        <v>263</v>
      </c>
      <c r="C30" t="s">
        <v>173</v>
      </c>
      <c r="D30">
        <f>IF('Quarterly Results'!F30="","",'Quarterly Results'!F30)</f>
      </c>
      <c r="E30">
        <f>IF('Quarterly Results'!N30="","",'Quarterly Results'!N30)</f>
      </c>
      <c r="F30">
        <f>IF('Quarterly Results'!X30="","",'Quarterly Results'!X30)</f>
      </c>
      <c r="G30">
        <f>IF('Quarterly Results'!AH30="","",'Quarterly Results'!AH30)</f>
      </c>
      <c r="H30">
        <f>IFERROR(AVERAGEIF(D30:G30,"&gt;=0"),"")</f>
      </c>
      <c r="I30">
        <f>IF(H30="","",IFERROR(INDEX({"Q1","Q2","Q3","Q4"},MATCH(MAX(D30:G30),D30:G30,0)),""))</f>
      </c>
      <c r="J30">
        <f>IF(H30="","",IFERROR(INDEX({"Q1","Q2","Q3","Q4"},MATCH(AGGREGATE(5,6,D30:G30),D30:G30,0)),""))</f>
      </c>
      <c r="K30">
        <f>IF(OR(D30="",E30=""),"",E30-D30)</f>
      </c>
      <c r="L30">
        <f>IF(H30="","",RANK(H30,$H$2:$H$118,0))</f>
      </c>
    </row>
    <row r="31" spans="1:12" x14ac:dyDescent="0.25">
      <c r="A31" s="2" t="s">
        <v>264</v>
      </c>
      <c r="B31" s="2" t="s">
        <v>265</v>
      </c>
      <c r="C31" s="2" t="s">
        <v>173</v>
      </c>
      <c r="D31" s="2">
        <f>IF('Quarterly Results'!F31="","",'Quarterly Results'!F31)</f>
      </c>
      <c r="E31" s="2">
        <f>IF('Quarterly Results'!N31="","",'Quarterly Results'!N31)</f>
      </c>
      <c r="F31" s="2">
        <f>IF('Quarterly Results'!X31="","",'Quarterly Results'!X31)</f>
      </c>
      <c r="G31" s="2">
        <f>IF('Quarterly Results'!AH31="","",'Quarterly Results'!AH31)</f>
      </c>
      <c r="H31" s="2">
        <f>IFERROR(AVERAGEIF(D31:G31,"&gt;=0"),"")</f>
      </c>
      <c r="I31" s="2">
        <f>IF(H31="","",IFERROR(INDEX({"Q1","Q2","Q3","Q4"},MATCH(MAX(D31:G31),D31:G31,0)),""))</f>
      </c>
      <c r="J31" s="2">
        <f>IF(H31="","",IFERROR(INDEX({"Q1","Q2","Q3","Q4"},MATCH(AGGREGATE(5,6,D31:G31),D31:G31,0)),""))</f>
      </c>
      <c r="K31" s="2">
        <f>IF(OR(D31="",E31=""),"",E31-D31)</f>
      </c>
      <c r="L31" s="2">
        <f>IF(H31="","",RANK(H31,$H$2:$H$118,0))</f>
      </c>
    </row>
    <row r="32" spans="1:12" x14ac:dyDescent="0.25">
      <c r="A32" t="s">
        <v>267</v>
      </c>
      <c r="B32" t="s">
        <v>268</v>
      </c>
      <c r="C32" t="s">
        <v>202</v>
      </c>
      <c r="D32">
        <f>IF('Quarterly Results'!F32="","",'Quarterly Results'!F32)</f>
      </c>
      <c r="E32">
        <f>IF('Quarterly Results'!N32="","",'Quarterly Results'!N32)</f>
      </c>
      <c r="F32">
        <f>IF('Quarterly Results'!X32="","",'Quarterly Results'!X32)</f>
      </c>
      <c r="G32">
        <f>IF('Quarterly Results'!AH32="","",'Quarterly Results'!AH32)</f>
      </c>
      <c r="H32">
        <f>IFERROR(AVERAGEIF(D32:G32,"&gt;=0"),"")</f>
      </c>
      <c r="I32">
        <f>IF(H32="","",IFERROR(INDEX({"Q1","Q2","Q3","Q4"},MATCH(MAX(D32:G32),D32:G32,0)),""))</f>
      </c>
      <c r="J32">
        <f>IF(H32="","",IFERROR(INDEX({"Q1","Q2","Q3","Q4"},MATCH(AGGREGATE(5,6,D32:G32),D32:G32,0)),""))</f>
      </c>
      <c r="K32">
        <f>IF(OR(D32="",E32=""),"",E32-D32)</f>
      </c>
      <c r="L32">
        <f>IF(H32="","",RANK(H32,$H$2:$H$118,0))</f>
      </c>
    </row>
    <row r="33" spans="1:12" x14ac:dyDescent="0.25">
      <c r="A33" s="2" t="s">
        <v>269</v>
      </c>
      <c r="B33" s="2" t="s">
        <v>270</v>
      </c>
      <c r="C33" s="2" t="s">
        <v>173</v>
      </c>
      <c r="D33" s="2">
        <f>IF('Quarterly Results'!F33="","",'Quarterly Results'!F33)</f>
      </c>
      <c r="E33" s="2">
        <f>IF('Quarterly Results'!N33="","",'Quarterly Results'!N33)</f>
      </c>
      <c r="F33" s="2">
        <f>IF('Quarterly Results'!X33="","",'Quarterly Results'!X33)</f>
      </c>
      <c r="G33" s="2">
        <f>IF('Quarterly Results'!AH33="","",'Quarterly Results'!AH33)</f>
      </c>
      <c r="H33" s="2">
        <f>IFERROR(AVERAGEIF(D33:G33,"&gt;=0"),"")</f>
      </c>
      <c r="I33" s="2">
        <f>IF(H33="","",IFERROR(INDEX({"Q1","Q2","Q3","Q4"},MATCH(MAX(D33:G33),D33:G33,0)),""))</f>
      </c>
      <c r="J33" s="2">
        <f>IF(H33="","",IFERROR(INDEX({"Q1","Q2","Q3","Q4"},MATCH(AGGREGATE(5,6,D33:G33),D33:G33,0)),""))</f>
      </c>
      <c r="K33" s="2">
        <f>IF(OR(D33="",E33=""),"",E33-D33)</f>
      </c>
      <c r="L33" s="2">
        <f>IF(H33="","",RANK(H33,$H$2:$H$118,0))</f>
      </c>
    </row>
    <row r="34" spans="1:12" x14ac:dyDescent="0.25">
      <c r="A34" t="s">
        <v>271</v>
      </c>
      <c r="B34" t="s">
        <v>272</v>
      </c>
      <c r="C34" t="s">
        <v>202</v>
      </c>
      <c r="D34">
        <f>IF('Quarterly Results'!F34="","",'Quarterly Results'!F34)</f>
      </c>
      <c r="E34">
        <f>IF('Quarterly Results'!N34="","",'Quarterly Results'!N34)</f>
      </c>
      <c r="F34">
        <f>IF('Quarterly Results'!X34="","",'Quarterly Results'!X34)</f>
      </c>
      <c r="G34">
        <f>IF('Quarterly Results'!AH34="","",'Quarterly Results'!AH34)</f>
      </c>
      <c r="H34">
        <f>IFERROR(AVERAGEIF(D34:G34,"&gt;=0"),"")</f>
      </c>
      <c r="I34">
        <f>IF(H34="","",IFERROR(INDEX({"Q1","Q2","Q3","Q4"},MATCH(MAX(D34:G34),D34:G34,0)),""))</f>
      </c>
      <c r="J34">
        <f>IF(H34="","",IFERROR(INDEX({"Q1","Q2","Q3","Q4"},MATCH(AGGREGATE(5,6,D34:G34),D34:G34,0)),""))</f>
      </c>
      <c r="K34">
        <f>IF(OR(D34="",E34=""),"",E34-D34)</f>
      </c>
      <c r="L34">
        <f>IF(H34="","",RANK(H34,$H$2:$H$118,0))</f>
      </c>
    </row>
    <row r="35" spans="1:12" x14ac:dyDescent="0.25">
      <c r="A35" s="2" t="s">
        <v>274</v>
      </c>
      <c r="B35" s="2" t="s">
        <v>275</v>
      </c>
      <c r="C35" s="2" t="s">
        <v>173</v>
      </c>
      <c r="D35" s="2">
        <f>IF('Quarterly Results'!F35="","",'Quarterly Results'!F35)</f>
      </c>
      <c r="E35" s="2">
        <f>IF('Quarterly Results'!N35="","",'Quarterly Results'!N35)</f>
      </c>
      <c r="F35" s="2">
        <f>IF('Quarterly Results'!X35="","",'Quarterly Results'!X35)</f>
      </c>
      <c r="G35" s="2">
        <f>IF('Quarterly Results'!AH35="","",'Quarterly Results'!AH35)</f>
      </c>
      <c r="H35" s="2">
        <f>IFERROR(AVERAGEIF(D35:G35,"&gt;=0"),"")</f>
      </c>
      <c r="I35" s="2">
        <f>IF(H35="","",IFERROR(INDEX({"Q1","Q2","Q3","Q4"},MATCH(MAX(D35:G35),D35:G35,0)),""))</f>
      </c>
      <c r="J35" s="2">
        <f>IF(H35="","",IFERROR(INDEX({"Q1","Q2","Q3","Q4"},MATCH(AGGREGATE(5,6,D35:G35),D35:G35,0)),""))</f>
      </c>
      <c r="K35" s="2">
        <f>IF(OR(D35="",E35=""),"",E35-D35)</f>
      </c>
      <c r="L35" s="2">
        <f>IF(H35="","",RANK(H35,$H$2:$H$118,0))</f>
      </c>
    </row>
    <row r="36" spans="1:12" x14ac:dyDescent="0.25">
      <c r="A36" t="s">
        <v>276</v>
      </c>
      <c r="B36" t="s">
        <v>277</v>
      </c>
      <c r="C36" t="s">
        <v>173</v>
      </c>
      <c r="D36">
        <f>IF('Quarterly Results'!F36="","",'Quarterly Results'!F36)</f>
      </c>
      <c r="E36">
        <f>IF('Quarterly Results'!N36="","",'Quarterly Results'!N36)</f>
      </c>
      <c r="F36">
        <f>IF('Quarterly Results'!X36="","",'Quarterly Results'!X36)</f>
      </c>
      <c r="G36">
        <f>IF('Quarterly Results'!AH36="","",'Quarterly Results'!AH36)</f>
      </c>
      <c r="H36">
        <f>IFERROR(AVERAGEIF(D36:G36,"&gt;=0"),"")</f>
      </c>
      <c r="I36">
        <f>IF(H36="","",IFERROR(INDEX({"Q1","Q2","Q3","Q4"},MATCH(MAX(D36:G36),D36:G36,0)),""))</f>
      </c>
      <c r="J36">
        <f>IF(H36="","",IFERROR(INDEX({"Q1","Q2","Q3","Q4"},MATCH(AGGREGATE(5,6,D36:G36),D36:G36,0)),""))</f>
      </c>
      <c r="K36">
        <f>IF(OR(D36="",E36=""),"",E36-D36)</f>
      </c>
      <c r="L36">
        <f>IF(H36="","",RANK(H36,$H$2:$H$118,0))</f>
      </c>
    </row>
    <row r="37" spans="1:12" x14ac:dyDescent="0.25">
      <c r="A37" s="2" t="s">
        <v>279</v>
      </c>
      <c r="B37" s="2" t="s">
        <v>280</v>
      </c>
      <c r="C37" s="2" t="s">
        <v>222</v>
      </c>
      <c r="D37" s="2">
        <f>IF('Quarterly Results'!F37="","",'Quarterly Results'!F37)</f>
      </c>
      <c r="E37" s="2">
        <f>IF('Quarterly Results'!N37="","",'Quarterly Results'!N37)</f>
      </c>
      <c r="F37" s="2">
        <f>IF('Quarterly Results'!X37="","",'Quarterly Results'!X37)</f>
      </c>
      <c r="G37" s="2">
        <f>IF('Quarterly Results'!AH37="","",'Quarterly Results'!AH37)</f>
      </c>
      <c r="H37" s="2">
        <f>IFERROR(AVERAGEIF(D37:G37,"&gt;=0"),"")</f>
      </c>
      <c r="I37" s="2">
        <f>IF(H37="","",IFERROR(INDEX({"Q1","Q2","Q3","Q4"},MATCH(MAX(D37:G37),D37:G37,0)),""))</f>
      </c>
      <c r="J37" s="2">
        <f>IF(H37="","",IFERROR(INDEX({"Q1","Q2","Q3","Q4"},MATCH(AGGREGATE(5,6,D37:G37),D37:G37,0)),""))</f>
      </c>
      <c r="K37" s="2">
        <f>IF(OR(D37="",E37=""),"",E37-D37)</f>
      </c>
      <c r="L37" s="2">
        <f>IF(H37="","",RANK(H37,$H$2:$H$118,0))</f>
      </c>
    </row>
    <row r="38" spans="1:12" x14ac:dyDescent="0.25">
      <c r="A38" t="s">
        <v>282</v>
      </c>
      <c r="B38" t="s">
        <v>283</v>
      </c>
      <c r="C38" t="s">
        <v>173</v>
      </c>
      <c r="D38">
        <f>IF('Quarterly Results'!F38="","",'Quarterly Results'!F38)</f>
      </c>
      <c r="E38">
        <f>IF('Quarterly Results'!N38="","",'Quarterly Results'!N38)</f>
      </c>
      <c r="F38">
        <f>IF('Quarterly Results'!X38="","",'Quarterly Results'!X38)</f>
      </c>
      <c r="G38">
        <f>IF('Quarterly Results'!AH38="","",'Quarterly Results'!AH38)</f>
      </c>
      <c r="H38">
        <f>IFERROR(AVERAGEIF(D38:G38,"&gt;=0"),"")</f>
      </c>
      <c r="I38">
        <f>IF(H38="","",IFERROR(INDEX({"Q1","Q2","Q3","Q4"},MATCH(MAX(D38:G38),D38:G38,0)),""))</f>
      </c>
      <c r="J38">
        <f>IF(H38="","",IFERROR(INDEX({"Q1","Q2","Q3","Q4"},MATCH(AGGREGATE(5,6,D38:G38),D38:G38,0)),""))</f>
      </c>
      <c r="K38">
        <f>IF(OR(D38="",E38=""),"",E38-D38)</f>
      </c>
      <c r="L38">
        <f>IF(H38="","",RANK(H38,$H$2:$H$118,0))</f>
      </c>
    </row>
    <row r="39" spans="1:12" x14ac:dyDescent="0.25">
      <c r="A39" s="2" t="s">
        <v>284</v>
      </c>
      <c r="B39" s="2" t="s">
        <v>285</v>
      </c>
      <c r="C39" s="2" t="s">
        <v>173</v>
      </c>
      <c r="D39" s="2">
        <f>IF('Quarterly Results'!F39="","",'Quarterly Results'!F39)</f>
      </c>
      <c r="E39" s="2">
        <f>IF('Quarterly Results'!N39="","",'Quarterly Results'!N39)</f>
      </c>
      <c r="F39" s="2">
        <f>IF('Quarterly Results'!X39="","",'Quarterly Results'!X39)</f>
      </c>
      <c r="G39" s="2">
        <f>IF('Quarterly Results'!AH39="","",'Quarterly Results'!AH39)</f>
      </c>
      <c r="H39" s="2">
        <f>IFERROR(AVERAGEIF(D39:G39,"&gt;=0"),"")</f>
      </c>
      <c r="I39" s="2">
        <f>IF(H39="","",IFERROR(INDEX({"Q1","Q2","Q3","Q4"},MATCH(MAX(D39:G39),D39:G39,0)),""))</f>
      </c>
      <c r="J39" s="2">
        <f>IF(H39="","",IFERROR(INDEX({"Q1","Q2","Q3","Q4"},MATCH(AGGREGATE(5,6,D39:G39),D39:G39,0)),""))</f>
      </c>
      <c r="K39" s="2">
        <f>IF(OR(D39="",E39=""),"",E39-D39)</f>
      </c>
      <c r="L39" s="2">
        <f>IF(H39="","",RANK(H39,$H$2:$H$118,0))</f>
      </c>
    </row>
    <row r="40" spans="1:12" x14ac:dyDescent="0.25">
      <c r="A40" t="s">
        <v>286</v>
      </c>
      <c r="B40" t="s">
        <v>287</v>
      </c>
      <c r="C40" t="s">
        <v>173</v>
      </c>
      <c r="D40">
        <f>IF('Quarterly Results'!F40="","",'Quarterly Results'!F40)</f>
      </c>
      <c r="E40">
        <f>IF('Quarterly Results'!N40="","",'Quarterly Results'!N40)</f>
      </c>
      <c r="F40">
        <f>IF('Quarterly Results'!X40="","",'Quarterly Results'!X40)</f>
      </c>
      <c r="G40">
        <f>IF('Quarterly Results'!AH40="","",'Quarterly Results'!AH40)</f>
      </c>
      <c r="H40">
        <f>IFERROR(AVERAGEIF(D40:G40,"&gt;=0"),"")</f>
      </c>
      <c r="I40">
        <f>IF(H40="","",IFERROR(INDEX({"Q1","Q2","Q3","Q4"},MATCH(MAX(D40:G40),D40:G40,0)),""))</f>
      </c>
      <c r="J40">
        <f>IF(H40="","",IFERROR(INDEX({"Q1","Q2","Q3","Q4"},MATCH(AGGREGATE(5,6,D40:G40),D40:G40,0)),""))</f>
      </c>
      <c r="K40">
        <f>IF(OR(D40="",E40=""),"",E40-D40)</f>
      </c>
      <c r="L40">
        <f>IF(H40="","",RANK(H40,$H$2:$H$118,0))</f>
      </c>
    </row>
    <row r="41" spans="1:12" x14ac:dyDescent="0.25">
      <c r="A41" s="2" t="s">
        <v>288</v>
      </c>
      <c r="B41" s="2" t="s">
        <v>289</v>
      </c>
      <c r="C41" s="2" t="s">
        <v>173</v>
      </c>
      <c r="D41" s="2">
        <f>IF('Quarterly Results'!F41="","",'Quarterly Results'!F41)</f>
      </c>
      <c r="E41" s="2">
        <f>IF('Quarterly Results'!N41="","",'Quarterly Results'!N41)</f>
      </c>
      <c r="F41" s="2">
        <f>IF('Quarterly Results'!X41="","",'Quarterly Results'!X41)</f>
      </c>
      <c r="G41" s="2">
        <f>IF('Quarterly Results'!AH41="","",'Quarterly Results'!AH41)</f>
      </c>
      <c r="H41" s="2">
        <f>IFERROR(AVERAGEIF(D41:G41,"&gt;=0"),"")</f>
      </c>
      <c r="I41" s="2">
        <f>IF(H41="","",IFERROR(INDEX({"Q1","Q2","Q3","Q4"},MATCH(MAX(D41:G41),D41:G41,0)),""))</f>
      </c>
      <c r="J41" s="2">
        <f>IF(H41="","",IFERROR(INDEX({"Q1","Q2","Q3","Q4"},MATCH(AGGREGATE(5,6,D41:G41),D41:G41,0)),""))</f>
      </c>
      <c r="K41" s="2">
        <f>IF(OR(D41="",E41=""),"",E41-D41)</f>
      </c>
      <c r="L41" s="2">
        <f>IF(H41="","",RANK(H41,$H$2:$H$118,0))</f>
      </c>
    </row>
    <row r="42" spans="1:12" x14ac:dyDescent="0.25">
      <c r="A42" t="s">
        <v>291</v>
      </c>
      <c r="B42" t="s">
        <v>292</v>
      </c>
      <c r="C42" t="s">
        <v>173</v>
      </c>
      <c r="D42">
        <f>IF('Quarterly Results'!F42="","",'Quarterly Results'!F42)</f>
      </c>
      <c r="E42">
        <f>IF('Quarterly Results'!N42="","",'Quarterly Results'!N42)</f>
      </c>
      <c r="F42">
        <f>IF('Quarterly Results'!X42="","",'Quarterly Results'!X42)</f>
      </c>
      <c r="G42">
        <f>IF('Quarterly Results'!AH42="","",'Quarterly Results'!AH42)</f>
      </c>
      <c r="H42">
        <f>IFERROR(AVERAGEIF(D42:G42,"&gt;=0"),"")</f>
      </c>
      <c r="I42">
        <f>IF(H42="","",IFERROR(INDEX({"Q1","Q2","Q3","Q4"},MATCH(MAX(D42:G42),D42:G42,0)),""))</f>
      </c>
      <c r="J42">
        <f>IF(H42="","",IFERROR(INDEX({"Q1","Q2","Q3","Q4"},MATCH(AGGREGATE(5,6,D42:G42),D42:G42,0)),""))</f>
      </c>
      <c r="K42">
        <f>IF(OR(D42="",E42=""),"",E42-D42)</f>
      </c>
      <c r="L42">
        <f>IF(H42="","",RANK(H42,$H$2:$H$118,0))</f>
      </c>
    </row>
    <row r="43" spans="1:12" x14ac:dyDescent="0.25">
      <c r="A43" s="2" t="s">
        <v>293</v>
      </c>
      <c r="B43" s="2" t="s">
        <v>294</v>
      </c>
      <c r="C43" s="2" t="s">
        <v>173</v>
      </c>
      <c r="D43" s="2">
        <f>IF('Quarterly Results'!F43="","",'Quarterly Results'!F43)</f>
      </c>
      <c r="E43" s="2">
        <f>IF('Quarterly Results'!N43="","",'Quarterly Results'!N43)</f>
      </c>
      <c r="F43" s="2">
        <f>IF('Quarterly Results'!X43="","",'Quarterly Results'!X43)</f>
      </c>
      <c r="G43" s="2">
        <f>IF('Quarterly Results'!AH43="","",'Quarterly Results'!AH43)</f>
      </c>
      <c r="H43" s="2">
        <f>IFERROR(AVERAGEIF(D43:G43,"&gt;=0"),"")</f>
      </c>
      <c r="I43" s="2">
        <f>IF(H43="","",IFERROR(INDEX({"Q1","Q2","Q3","Q4"},MATCH(MAX(D43:G43),D43:G43,0)),""))</f>
      </c>
      <c r="J43" s="2">
        <f>IF(H43="","",IFERROR(INDEX({"Q1","Q2","Q3","Q4"},MATCH(AGGREGATE(5,6,D43:G43),D43:G43,0)),""))</f>
      </c>
      <c r="K43" s="2">
        <f>IF(OR(D43="",E43=""),"",E43-D43)</f>
      </c>
      <c r="L43" s="2">
        <f>IF(H43="","",RANK(H43,$H$2:$H$118,0))</f>
      </c>
    </row>
    <row r="44" spans="1:12" x14ac:dyDescent="0.25">
      <c r="A44" t="s">
        <v>295</v>
      </c>
      <c r="B44" t="s">
        <v>296</v>
      </c>
      <c r="C44" t="s">
        <v>173</v>
      </c>
      <c r="D44">
        <f>IF('Quarterly Results'!F44="","",'Quarterly Results'!F44)</f>
      </c>
      <c r="E44">
        <f>IF('Quarterly Results'!N44="","",'Quarterly Results'!N44)</f>
      </c>
      <c r="F44">
        <f>IF('Quarterly Results'!X44="","",'Quarterly Results'!X44)</f>
      </c>
      <c r="G44">
        <f>IF('Quarterly Results'!AH44="","",'Quarterly Results'!AH44)</f>
      </c>
      <c r="H44">
        <f>IFERROR(AVERAGEIF(D44:G44,"&gt;=0"),"")</f>
      </c>
      <c r="I44">
        <f>IF(H44="","",IFERROR(INDEX({"Q1","Q2","Q3","Q4"},MATCH(MAX(D44:G44),D44:G44,0)),""))</f>
      </c>
      <c r="J44">
        <f>IF(H44="","",IFERROR(INDEX({"Q1","Q2","Q3","Q4"},MATCH(AGGREGATE(5,6,D44:G44),D44:G44,0)),""))</f>
      </c>
      <c r="K44">
        <f>IF(OR(D44="",E44=""),"",E44-D44)</f>
      </c>
      <c r="L44">
        <f>IF(H44="","",RANK(H44,$H$2:$H$118,0))</f>
      </c>
    </row>
    <row r="45" spans="1:12" x14ac:dyDescent="0.25">
      <c r="A45" s="2" t="s">
        <v>297</v>
      </c>
      <c r="B45" s="2" t="s">
        <v>298</v>
      </c>
      <c r="C45" s="2" t="s">
        <v>173</v>
      </c>
      <c r="D45" s="2">
        <f>IF('Quarterly Results'!F45="","",'Quarterly Results'!F45)</f>
      </c>
      <c r="E45" s="2">
        <f>IF('Quarterly Results'!N45="","",'Quarterly Results'!N45)</f>
      </c>
      <c r="F45" s="2">
        <f>IF('Quarterly Results'!X45="","",'Quarterly Results'!X45)</f>
      </c>
      <c r="G45" s="2">
        <f>IF('Quarterly Results'!AH45="","",'Quarterly Results'!AH45)</f>
      </c>
      <c r="H45" s="2">
        <f>IFERROR(AVERAGEIF(D45:G45,"&gt;=0"),"")</f>
      </c>
      <c r="I45" s="2">
        <f>IF(H45="","",IFERROR(INDEX({"Q1","Q2","Q3","Q4"},MATCH(MAX(D45:G45),D45:G45,0)),""))</f>
      </c>
      <c r="J45" s="2">
        <f>IF(H45="","",IFERROR(INDEX({"Q1","Q2","Q3","Q4"},MATCH(AGGREGATE(5,6,D45:G45),D45:G45,0)),""))</f>
      </c>
      <c r="K45" s="2">
        <f>IF(OR(D45="",E45=""),"",E45-D45)</f>
      </c>
      <c r="L45" s="2">
        <f>IF(H45="","",RANK(H45,$H$2:$H$118,0))</f>
      </c>
    </row>
    <row r="46" spans="1:12" x14ac:dyDescent="0.25">
      <c r="A46" t="s">
        <v>299</v>
      </c>
      <c r="B46" t="s">
        <v>300</v>
      </c>
      <c r="C46" t="s">
        <v>173</v>
      </c>
      <c r="D46">
        <f>IF('Quarterly Results'!F46="","",'Quarterly Results'!F46)</f>
      </c>
      <c r="E46">
        <f>IF('Quarterly Results'!N46="","",'Quarterly Results'!N46)</f>
      </c>
      <c r="F46">
        <f>IF('Quarterly Results'!X46="","",'Quarterly Results'!X46)</f>
      </c>
      <c r="G46">
        <f>IF('Quarterly Results'!AH46="","",'Quarterly Results'!AH46)</f>
      </c>
      <c r="H46">
        <f>IFERROR(AVERAGEIF(D46:G46,"&gt;=0"),"")</f>
      </c>
      <c r="I46">
        <f>IF(H46="","",IFERROR(INDEX({"Q1","Q2","Q3","Q4"},MATCH(MAX(D46:G46),D46:G46,0)),""))</f>
      </c>
      <c r="J46">
        <f>IF(H46="","",IFERROR(INDEX({"Q1","Q2","Q3","Q4"},MATCH(AGGREGATE(5,6,D46:G46),D46:G46,0)),""))</f>
      </c>
      <c r="K46">
        <f>IF(OR(D46="",E46=""),"",E46-D46)</f>
      </c>
      <c r="L46">
        <f>IF(H46="","",RANK(H46,$H$2:$H$118,0))</f>
      </c>
    </row>
    <row r="47" spans="1:12" x14ac:dyDescent="0.25">
      <c r="A47" s="2" t="s">
        <v>301</v>
      </c>
      <c r="B47" s="2" t="s">
        <v>302</v>
      </c>
      <c r="C47" s="2" t="s">
        <v>202</v>
      </c>
      <c r="D47" s="2">
        <f>IF('Quarterly Results'!F47="","",'Quarterly Results'!F47)</f>
      </c>
      <c r="E47" s="2">
        <f>IF('Quarterly Results'!N47="","",'Quarterly Results'!N47)</f>
      </c>
      <c r="F47" s="2">
        <f>IF('Quarterly Results'!X47="","",'Quarterly Results'!X47)</f>
      </c>
      <c r="G47" s="2">
        <f>IF('Quarterly Results'!AH47="","",'Quarterly Results'!AH47)</f>
      </c>
      <c r="H47" s="2">
        <f>IFERROR(AVERAGEIF(D47:G47,"&gt;=0"),"")</f>
      </c>
      <c r="I47" s="2">
        <f>IF(H47="","",IFERROR(INDEX({"Q1","Q2","Q3","Q4"},MATCH(MAX(D47:G47),D47:G47,0)),""))</f>
      </c>
      <c r="J47" s="2">
        <f>IF(H47="","",IFERROR(INDEX({"Q1","Q2","Q3","Q4"},MATCH(AGGREGATE(5,6,D47:G47),D47:G47,0)),""))</f>
      </c>
      <c r="K47" s="2">
        <f>IF(OR(D47="",E47=""),"",E47-D47)</f>
      </c>
      <c r="L47" s="2">
        <f>IF(H47="","",RANK(H47,$H$2:$H$118,0))</f>
      </c>
    </row>
    <row r="48" spans="1:12" x14ac:dyDescent="0.25">
      <c r="A48" t="s">
        <v>303</v>
      </c>
      <c r="B48" t="s">
        <v>304</v>
      </c>
      <c r="C48" t="s">
        <v>202</v>
      </c>
      <c r="D48">
        <f>IF('Quarterly Results'!F48="","",'Quarterly Results'!F48)</f>
      </c>
      <c r="E48">
        <f>IF('Quarterly Results'!N48="","",'Quarterly Results'!N48)</f>
      </c>
      <c r="F48">
        <f>IF('Quarterly Results'!X48="","",'Quarterly Results'!X48)</f>
      </c>
      <c r="G48">
        <f>IF('Quarterly Results'!AH48="","",'Quarterly Results'!AH48)</f>
      </c>
      <c r="H48">
        <f>IFERROR(AVERAGEIF(D48:G48,"&gt;=0"),"")</f>
      </c>
      <c r="I48">
        <f>IF(H48="","",IFERROR(INDEX({"Q1","Q2","Q3","Q4"},MATCH(MAX(D48:G48),D48:G48,0)),""))</f>
      </c>
      <c r="J48">
        <f>IF(H48="","",IFERROR(INDEX({"Q1","Q2","Q3","Q4"},MATCH(AGGREGATE(5,6,D48:G48),D48:G48,0)),""))</f>
      </c>
      <c r="K48">
        <f>IF(OR(D48="",E48=""),"",E48-D48)</f>
      </c>
      <c r="L48">
        <f>IF(H48="","",RANK(H48,$H$2:$H$118,0))</f>
      </c>
    </row>
    <row r="49" spans="1:12" x14ac:dyDescent="0.25">
      <c r="A49" s="2" t="s">
        <v>305</v>
      </c>
      <c r="B49" s="2" t="s">
        <v>306</v>
      </c>
      <c r="C49" s="2" t="s">
        <v>222</v>
      </c>
      <c r="D49" s="2">
        <f>IF('Quarterly Results'!F49="","",'Quarterly Results'!F49)</f>
      </c>
      <c r="E49" s="2">
        <f>IF('Quarterly Results'!N49="","",'Quarterly Results'!N49)</f>
      </c>
      <c r="F49" s="2">
        <f>IF('Quarterly Results'!X49="","",'Quarterly Results'!X49)</f>
      </c>
      <c r="G49" s="2">
        <f>IF('Quarterly Results'!AH49="","",'Quarterly Results'!AH49)</f>
      </c>
      <c r="H49" s="2">
        <f>IFERROR(AVERAGEIF(D49:G49,"&gt;=0"),"")</f>
      </c>
      <c r="I49" s="2">
        <f>IF(H49="","",IFERROR(INDEX({"Q1","Q2","Q3","Q4"},MATCH(MAX(D49:G49),D49:G49,0)),""))</f>
      </c>
      <c r="J49" s="2">
        <f>IF(H49="","",IFERROR(INDEX({"Q1","Q2","Q3","Q4"},MATCH(AGGREGATE(5,6,D49:G49),D49:G49,0)),""))</f>
      </c>
      <c r="K49" s="2">
        <f>IF(OR(D49="",E49=""),"",E49-D49)</f>
      </c>
      <c r="L49" s="2">
        <f>IF(H49="","",RANK(H49,$H$2:$H$118,0))</f>
      </c>
    </row>
    <row r="50" spans="1:12" x14ac:dyDescent="0.25">
      <c r="A50" t="s">
        <v>308</v>
      </c>
      <c r="B50" t="s">
        <v>309</v>
      </c>
      <c r="C50" t="s">
        <v>222</v>
      </c>
      <c r="D50">
        <f>IF('Quarterly Results'!F50="","",'Quarterly Results'!F50)</f>
      </c>
      <c r="E50">
        <f>IF('Quarterly Results'!N50="","",'Quarterly Results'!N50)</f>
      </c>
      <c r="F50">
        <f>IF('Quarterly Results'!X50="","",'Quarterly Results'!X50)</f>
      </c>
      <c r="G50">
        <f>IF('Quarterly Results'!AH50="","",'Quarterly Results'!AH50)</f>
      </c>
      <c r="H50">
        <f>IFERROR(AVERAGEIF(D50:G50,"&gt;=0"),"")</f>
      </c>
      <c r="I50">
        <f>IF(H50="","",IFERROR(INDEX({"Q1","Q2","Q3","Q4"},MATCH(MAX(D50:G50),D50:G50,0)),""))</f>
      </c>
      <c r="J50">
        <f>IF(H50="","",IFERROR(INDEX({"Q1","Q2","Q3","Q4"},MATCH(AGGREGATE(5,6,D50:G50),D50:G50,0)),""))</f>
      </c>
      <c r="K50">
        <f>IF(OR(D50="",E50=""),"",E50-D50)</f>
      </c>
      <c r="L50">
        <f>IF(H50="","",RANK(H50,$H$2:$H$118,0))</f>
      </c>
    </row>
    <row r="51" spans="1:12" x14ac:dyDescent="0.25">
      <c r="A51" s="2" t="s">
        <v>310</v>
      </c>
      <c r="B51" s="2" t="s">
        <v>310</v>
      </c>
      <c r="C51" s="2" t="s">
        <v>222</v>
      </c>
      <c r="D51" s="2">
        <f>IF('Quarterly Results'!F51="","",'Quarterly Results'!F51)</f>
      </c>
      <c r="E51" s="2">
        <f>IF('Quarterly Results'!N51="","",'Quarterly Results'!N51)</f>
      </c>
      <c r="F51" s="2">
        <f>IF('Quarterly Results'!X51="","",'Quarterly Results'!X51)</f>
      </c>
      <c r="G51" s="2">
        <f>IF('Quarterly Results'!AH51="","",'Quarterly Results'!AH51)</f>
      </c>
      <c r="H51" s="2">
        <f>IFERROR(AVERAGEIF(D51:G51,"&gt;=0"),"")</f>
      </c>
      <c r="I51" s="2">
        <f>IF(H51="","",IFERROR(INDEX({"Q1","Q2","Q3","Q4"},MATCH(MAX(D51:G51),D51:G51,0)),""))</f>
      </c>
      <c r="J51" s="2">
        <f>IF(H51="","",IFERROR(INDEX({"Q1","Q2","Q3","Q4"},MATCH(AGGREGATE(5,6,D51:G51),D51:G51,0)),""))</f>
      </c>
      <c r="K51" s="2">
        <f>IF(OR(D51="",E51=""),"",E51-D51)</f>
      </c>
      <c r="L51" s="2">
        <f>IF(H51="","",RANK(H51,$H$2:$H$118,0))</f>
      </c>
    </row>
    <row r="52" spans="1:12" x14ac:dyDescent="0.25">
      <c r="A52" t="s">
        <v>311</v>
      </c>
      <c r="B52" t="s">
        <v>312</v>
      </c>
      <c r="C52" t="s">
        <v>222</v>
      </c>
      <c r="D52">
        <f>IF('Quarterly Results'!F52="","",'Quarterly Results'!F52)</f>
      </c>
      <c r="E52">
        <f>IF('Quarterly Results'!N52="","",'Quarterly Results'!N52)</f>
      </c>
      <c r="F52">
        <f>IF('Quarterly Results'!X52="","",'Quarterly Results'!X52)</f>
      </c>
      <c r="G52">
        <f>IF('Quarterly Results'!AH52="","",'Quarterly Results'!AH52)</f>
      </c>
      <c r="H52">
        <f>IFERROR(AVERAGEIF(D52:G52,"&gt;=0"),"")</f>
      </c>
      <c r="I52">
        <f>IF(H52="","",IFERROR(INDEX({"Q1","Q2","Q3","Q4"},MATCH(MAX(D52:G52),D52:G52,0)),""))</f>
      </c>
      <c r="J52">
        <f>IF(H52="","",IFERROR(INDEX({"Q1","Q2","Q3","Q4"},MATCH(AGGREGATE(5,6,D52:G52),D52:G52,0)),""))</f>
      </c>
      <c r="K52">
        <f>IF(OR(D52="",E52=""),"",E52-D52)</f>
      </c>
      <c r="L52">
        <f>IF(H52="","",RANK(H52,$H$2:$H$118,0))</f>
      </c>
    </row>
    <row r="53" spans="1:12" x14ac:dyDescent="0.25">
      <c r="A53" s="2" t="s">
        <v>313</v>
      </c>
      <c r="B53" s="2" t="s">
        <v>314</v>
      </c>
      <c r="C53" s="2" t="s">
        <v>202</v>
      </c>
      <c r="D53" s="2">
        <f>IF('Quarterly Results'!F53="","",'Quarterly Results'!F53)</f>
      </c>
      <c r="E53" s="2">
        <f>IF('Quarterly Results'!N53="","",'Quarterly Results'!N53)</f>
      </c>
      <c r="F53" s="2">
        <f>IF('Quarterly Results'!X53="","",'Quarterly Results'!X53)</f>
      </c>
      <c r="G53" s="2">
        <f>IF('Quarterly Results'!AH53="","",'Quarterly Results'!AH53)</f>
      </c>
      <c r="H53" s="2">
        <f>IFERROR(AVERAGEIF(D53:G53,"&gt;=0"),"")</f>
      </c>
      <c r="I53" s="2">
        <f>IF(H53="","",IFERROR(INDEX({"Q1","Q2","Q3","Q4"},MATCH(MAX(D53:G53),D53:G53,0)),""))</f>
      </c>
      <c r="J53" s="2">
        <f>IF(H53="","",IFERROR(INDEX({"Q1","Q2","Q3","Q4"},MATCH(AGGREGATE(5,6,D53:G53),D53:G53,0)),""))</f>
      </c>
      <c r="K53" s="2">
        <f>IF(OR(D53="",E53=""),"",E53-D53)</f>
      </c>
      <c r="L53" s="2">
        <f>IF(H53="","",RANK(H53,$H$2:$H$118,0))</f>
      </c>
    </row>
    <row r="54" spans="1:12" x14ac:dyDescent="0.25">
      <c r="A54" t="s">
        <v>315</v>
      </c>
      <c r="B54" t="s">
        <v>316</v>
      </c>
      <c r="C54" t="s">
        <v>202</v>
      </c>
      <c r="D54">
        <f>IF('Quarterly Results'!F54="","",'Quarterly Results'!F54)</f>
      </c>
      <c r="E54">
        <f>IF('Quarterly Results'!N54="","",'Quarterly Results'!N54)</f>
      </c>
      <c r="F54">
        <f>IF('Quarterly Results'!X54="","",'Quarterly Results'!X54)</f>
      </c>
      <c r="G54">
        <f>IF('Quarterly Results'!AH54="","",'Quarterly Results'!AH54)</f>
      </c>
      <c r="H54">
        <f>IFERROR(AVERAGEIF(D54:G54,"&gt;=0"),"")</f>
      </c>
      <c r="I54">
        <f>IF(H54="","",IFERROR(INDEX({"Q1","Q2","Q3","Q4"},MATCH(MAX(D54:G54),D54:G54,0)),""))</f>
      </c>
      <c r="J54">
        <f>IF(H54="","",IFERROR(INDEX({"Q1","Q2","Q3","Q4"},MATCH(AGGREGATE(5,6,D54:G54),D54:G54,0)),""))</f>
      </c>
      <c r="K54">
        <f>IF(OR(D54="",E54=""),"",E54-D54)</f>
      </c>
      <c r="L54">
        <f>IF(H54="","",RANK(H54,$H$2:$H$118,0))</f>
      </c>
    </row>
    <row r="55" spans="1:12" x14ac:dyDescent="0.25">
      <c r="A55" s="2" t="s">
        <v>318</v>
      </c>
      <c r="B55" s="2" t="s">
        <v>319</v>
      </c>
      <c r="C55" s="2" t="s">
        <v>202</v>
      </c>
      <c r="D55" s="2">
        <f>IF('Quarterly Results'!F55="","",'Quarterly Results'!F55)</f>
      </c>
      <c r="E55" s="2">
        <f>IF('Quarterly Results'!N55="","",'Quarterly Results'!N55)</f>
      </c>
      <c r="F55" s="2">
        <f>IF('Quarterly Results'!X55="","",'Quarterly Results'!X55)</f>
      </c>
      <c r="G55" s="2">
        <f>IF('Quarterly Results'!AH55="","",'Quarterly Results'!AH55)</f>
      </c>
      <c r="H55" s="2">
        <f>IFERROR(AVERAGEIF(D55:G55,"&gt;=0"),"")</f>
      </c>
      <c r="I55" s="2">
        <f>IF(H55="","",IFERROR(INDEX({"Q1","Q2","Q3","Q4"},MATCH(MAX(D55:G55),D55:G55,0)),""))</f>
      </c>
      <c r="J55" s="2">
        <f>IF(H55="","",IFERROR(INDEX({"Q1","Q2","Q3","Q4"},MATCH(AGGREGATE(5,6,D55:G55),D55:G55,0)),""))</f>
      </c>
      <c r="K55" s="2">
        <f>IF(OR(D55="",E55=""),"",E55-D55)</f>
      </c>
      <c r="L55" s="2">
        <f>IF(H55="","",RANK(H55,$H$2:$H$118,0))</f>
      </c>
    </row>
    <row r="56" spans="1:12" x14ac:dyDescent="0.25">
      <c r="A56" t="s">
        <v>320</v>
      </c>
      <c r="B56" t="s">
        <v>321</v>
      </c>
      <c r="C56" t="s">
        <v>202</v>
      </c>
      <c r="D56">
        <f>IF('Quarterly Results'!F56="","",'Quarterly Results'!F56)</f>
      </c>
      <c r="E56">
        <f>IF('Quarterly Results'!N56="","",'Quarterly Results'!N56)</f>
      </c>
      <c r="F56">
        <f>IF('Quarterly Results'!X56="","",'Quarterly Results'!X56)</f>
      </c>
      <c r="G56">
        <f>IF('Quarterly Results'!AH56="","",'Quarterly Results'!AH56)</f>
      </c>
      <c r="H56">
        <f>IFERROR(AVERAGEIF(D56:G56,"&gt;=0"),"")</f>
      </c>
      <c r="I56">
        <f>IF(H56="","",IFERROR(INDEX({"Q1","Q2","Q3","Q4"},MATCH(MAX(D56:G56),D56:G56,0)),""))</f>
      </c>
      <c r="J56">
        <f>IF(H56="","",IFERROR(INDEX({"Q1","Q2","Q3","Q4"},MATCH(AGGREGATE(5,6,D56:G56),D56:G56,0)),""))</f>
      </c>
      <c r="K56">
        <f>IF(OR(D56="",E56=""),"",E56-D56)</f>
      </c>
      <c r="L56">
        <f>IF(H56="","",RANK(H56,$H$2:$H$118,0))</f>
      </c>
    </row>
    <row r="57" spans="1:12" x14ac:dyDescent="0.25">
      <c r="A57" s="2" t="s">
        <v>322</v>
      </c>
      <c r="B57" s="2" t="s">
        <v>323</v>
      </c>
      <c r="C57" s="2" t="s">
        <v>202</v>
      </c>
      <c r="D57" s="2">
        <f>IF('Quarterly Results'!F57="","",'Quarterly Results'!F57)</f>
      </c>
      <c r="E57" s="2">
        <f>IF('Quarterly Results'!N57="","",'Quarterly Results'!N57)</f>
      </c>
      <c r="F57" s="2">
        <f>IF('Quarterly Results'!X57="","",'Quarterly Results'!X57)</f>
      </c>
      <c r="G57" s="2">
        <f>IF('Quarterly Results'!AH57="","",'Quarterly Results'!AH57)</f>
      </c>
      <c r="H57" s="2">
        <f>IFERROR(AVERAGEIF(D57:G57,"&gt;=0"),"")</f>
      </c>
      <c r="I57" s="2">
        <f>IF(H57="","",IFERROR(INDEX({"Q1","Q2","Q3","Q4"},MATCH(MAX(D57:G57),D57:G57,0)),""))</f>
      </c>
      <c r="J57" s="2">
        <f>IF(H57="","",IFERROR(INDEX({"Q1","Q2","Q3","Q4"},MATCH(AGGREGATE(5,6,D57:G57),D57:G57,0)),""))</f>
      </c>
      <c r="K57" s="2">
        <f>IF(OR(D57="",E57=""),"",E57-D57)</f>
      </c>
      <c r="L57" s="2">
        <f>IF(H57="","",RANK(H57,$H$2:$H$118,0))</f>
      </c>
    </row>
    <row r="58" spans="1:12" x14ac:dyDescent="0.25">
      <c r="A58" t="s">
        <v>324</v>
      </c>
      <c r="B58" t="s">
        <v>325</v>
      </c>
      <c r="C58" t="s">
        <v>202</v>
      </c>
      <c r="D58">
        <f>IF('Quarterly Results'!F58="","",'Quarterly Results'!F58)</f>
      </c>
      <c r="E58">
        <f>IF('Quarterly Results'!N58="","",'Quarterly Results'!N58)</f>
      </c>
      <c r="F58">
        <f>IF('Quarterly Results'!X58="","",'Quarterly Results'!X58)</f>
      </c>
      <c r="G58">
        <f>IF('Quarterly Results'!AH58="","",'Quarterly Results'!AH58)</f>
      </c>
      <c r="H58">
        <f>IFERROR(AVERAGEIF(D58:G58,"&gt;=0"),"")</f>
      </c>
      <c r="I58">
        <f>IF(H58="","",IFERROR(INDEX({"Q1","Q2","Q3","Q4"},MATCH(MAX(D58:G58),D58:G58,0)),""))</f>
      </c>
      <c r="J58">
        <f>IF(H58="","",IFERROR(INDEX({"Q1","Q2","Q3","Q4"},MATCH(AGGREGATE(5,6,D58:G58),D58:G58,0)),""))</f>
      </c>
      <c r="K58">
        <f>IF(OR(D58="",E58=""),"",E58-D58)</f>
      </c>
      <c r="L58">
        <f>IF(H58="","",RANK(H58,$H$2:$H$118,0))</f>
      </c>
    </row>
    <row r="59" spans="1:12" x14ac:dyDescent="0.25">
      <c r="A59" s="2" t="s">
        <v>326</v>
      </c>
      <c r="B59" s="2" t="s">
        <v>327</v>
      </c>
      <c r="C59" s="2" t="s">
        <v>202</v>
      </c>
      <c r="D59" s="2">
        <f>IF('Quarterly Results'!F59="","",'Quarterly Results'!F59)</f>
      </c>
      <c r="E59" s="2">
        <f>IF('Quarterly Results'!N59="","",'Quarterly Results'!N59)</f>
      </c>
      <c r="F59" s="2">
        <f>IF('Quarterly Results'!X59="","",'Quarterly Results'!X59)</f>
      </c>
      <c r="G59" s="2">
        <f>IF('Quarterly Results'!AH59="","",'Quarterly Results'!AH59)</f>
      </c>
      <c r="H59" s="2">
        <f>IFERROR(AVERAGEIF(D59:G59,"&gt;=0"),"")</f>
      </c>
      <c r="I59" s="2">
        <f>IF(H59="","",IFERROR(INDEX({"Q1","Q2","Q3","Q4"},MATCH(MAX(D59:G59),D59:G59,0)),""))</f>
      </c>
      <c r="J59" s="2">
        <f>IF(H59="","",IFERROR(INDEX({"Q1","Q2","Q3","Q4"},MATCH(AGGREGATE(5,6,D59:G59),D59:G59,0)),""))</f>
      </c>
      <c r="K59" s="2">
        <f>IF(OR(D59="",E59=""),"",E59-D59)</f>
      </c>
      <c r="L59" s="2">
        <f>IF(H59="","",RANK(H59,$H$2:$H$118,0))</f>
      </c>
    </row>
    <row r="60" spans="1:12" x14ac:dyDescent="0.25">
      <c r="A60" t="s">
        <v>328</v>
      </c>
      <c r="B60" t="s">
        <v>329</v>
      </c>
      <c r="C60" t="s">
        <v>202</v>
      </c>
      <c r="D60">
        <f>IF('Quarterly Results'!F60="","",'Quarterly Results'!F60)</f>
      </c>
      <c r="E60">
        <f>IF('Quarterly Results'!N60="","",'Quarterly Results'!N60)</f>
      </c>
      <c r="F60">
        <f>IF('Quarterly Results'!X60="","",'Quarterly Results'!X60)</f>
      </c>
      <c r="G60">
        <f>IF('Quarterly Results'!AH60="","",'Quarterly Results'!AH60)</f>
      </c>
      <c r="H60">
        <f>IFERROR(AVERAGEIF(D60:G60,"&gt;=0"),"")</f>
      </c>
      <c r="I60">
        <f>IF(H60="","",IFERROR(INDEX({"Q1","Q2","Q3","Q4"},MATCH(MAX(D60:G60),D60:G60,0)),""))</f>
      </c>
      <c r="J60">
        <f>IF(H60="","",IFERROR(INDEX({"Q1","Q2","Q3","Q4"},MATCH(AGGREGATE(5,6,D60:G60),D60:G60,0)),""))</f>
      </c>
      <c r="K60">
        <f>IF(OR(D60="",E60=""),"",E60-D60)</f>
      </c>
      <c r="L60">
        <f>IF(H60="","",RANK(H60,$H$2:$H$118,0))</f>
      </c>
    </row>
    <row r="61" spans="1:12" x14ac:dyDescent="0.25">
      <c r="A61" s="2" t="s">
        <v>331</v>
      </c>
      <c r="B61" s="2" t="s">
        <v>332</v>
      </c>
      <c r="C61" s="2" t="s">
        <v>202</v>
      </c>
      <c r="D61" s="2">
        <f>IF('Quarterly Results'!F61="","",'Quarterly Results'!F61)</f>
      </c>
      <c r="E61" s="2">
        <f>IF('Quarterly Results'!N61="","",'Quarterly Results'!N61)</f>
      </c>
      <c r="F61" s="2">
        <f>IF('Quarterly Results'!X61="","",'Quarterly Results'!X61)</f>
      </c>
      <c r="G61" s="2">
        <f>IF('Quarterly Results'!AH61="","",'Quarterly Results'!AH61)</f>
      </c>
      <c r="H61" s="2">
        <f>IFERROR(AVERAGEIF(D61:G61,"&gt;=0"),"")</f>
      </c>
      <c r="I61" s="2">
        <f>IF(H61="","",IFERROR(INDEX({"Q1","Q2","Q3","Q4"},MATCH(MAX(D61:G61),D61:G61,0)),""))</f>
      </c>
      <c r="J61" s="2">
        <f>IF(H61="","",IFERROR(INDEX({"Q1","Q2","Q3","Q4"},MATCH(AGGREGATE(5,6,D61:G61),D61:G61,0)),""))</f>
      </c>
      <c r="K61" s="2">
        <f>IF(OR(D61="",E61=""),"",E61-D61)</f>
      </c>
      <c r="L61" s="2">
        <f>IF(H61="","",RANK(H61,$H$2:$H$118,0))</f>
      </c>
    </row>
    <row r="62" spans="1:12" x14ac:dyDescent="0.25">
      <c r="A62" t="s">
        <v>333</v>
      </c>
      <c r="B62" t="s">
        <v>334</v>
      </c>
      <c r="C62" t="s">
        <v>202</v>
      </c>
      <c r="D62">
        <f>IF('Quarterly Results'!F62="","",'Quarterly Results'!F62)</f>
      </c>
      <c r="E62">
        <f>IF('Quarterly Results'!N62="","",'Quarterly Results'!N62)</f>
      </c>
      <c r="F62">
        <f>IF('Quarterly Results'!X62="","",'Quarterly Results'!X62)</f>
      </c>
      <c r="G62">
        <f>IF('Quarterly Results'!AH62="","",'Quarterly Results'!AH62)</f>
      </c>
      <c r="H62">
        <f>IFERROR(AVERAGEIF(D62:G62,"&gt;=0"),"")</f>
      </c>
      <c r="I62">
        <f>IF(H62="","",IFERROR(INDEX({"Q1","Q2","Q3","Q4"},MATCH(MAX(D62:G62),D62:G62,0)),""))</f>
      </c>
      <c r="J62">
        <f>IF(H62="","",IFERROR(INDEX({"Q1","Q2","Q3","Q4"},MATCH(AGGREGATE(5,6,D62:G62),D62:G62,0)),""))</f>
      </c>
      <c r="K62">
        <f>IF(OR(D62="",E62=""),"",E62-D62)</f>
      </c>
      <c r="L62">
        <f>IF(H62="","",RANK(H62,$H$2:$H$118,0))</f>
      </c>
    </row>
    <row r="63" spans="1:12" x14ac:dyDescent="0.25">
      <c r="A63" s="2" t="s">
        <v>335</v>
      </c>
      <c r="B63" s="2" t="s">
        <v>336</v>
      </c>
      <c r="C63" s="2" t="s">
        <v>202</v>
      </c>
      <c r="D63" s="2">
        <f>IF('Quarterly Results'!F63="","",'Quarterly Results'!F63)</f>
      </c>
      <c r="E63" s="2">
        <f>IF('Quarterly Results'!N63="","",'Quarterly Results'!N63)</f>
      </c>
      <c r="F63" s="2">
        <f>IF('Quarterly Results'!X63="","",'Quarterly Results'!X63)</f>
      </c>
      <c r="G63" s="2">
        <f>IF('Quarterly Results'!AH63="","",'Quarterly Results'!AH63)</f>
      </c>
      <c r="H63" s="2">
        <f>IFERROR(AVERAGEIF(D63:G63,"&gt;=0"),"")</f>
      </c>
      <c r="I63" s="2">
        <f>IF(H63="","",IFERROR(INDEX({"Q1","Q2","Q3","Q4"},MATCH(MAX(D63:G63),D63:G63,0)),""))</f>
      </c>
      <c r="J63" s="2">
        <f>IF(H63="","",IFERROR(INDEX({"Q1","Q2","Q3","Q4"},MATCH(AGGREGATE(5,6,D63:G63),D63:G63,0)),""))</f>
      </c>
      <c r="K63" s="2">
        <f>IF(OR(D63="",E63=""),"",E63-D63)</f>
      </c>
      <c r="L63" s="2">
        <f>IF(H63="","",RANK(H63,$H$2:$H$118,0))</f>
      </c>
    </row>
    <row r="64" spans="1:12" x14ac:dyDescent="0.25">
      <c r="A64" t="s">
        <v>337</v>
      </c>
      <c r="B64" t="s">
        <v>338</v>
      </c>
      <c r="C64" t="s">
        <v>202</v>
      </c>
      <c r="D64">
        <f>IF('Quarterly Results'!F64="","",'Quarterly Results'!F64)</f>
      </c>
      <c r="E64">
        <f>IF('Quarterly Results'!N64="","",'Quarterly Results'!N64)</f>
      </c>
      <c r="F64">
        <f>IF('Quarterly Results'!X64="","",'Quarterly Results'!X64)</f>
      </c>
      <c r="G64">
        <f>IF('Quarterly Results'!AH64="","",'Quarterly Results'!AH64)</f>
      </c>
      <c r="H64">
        <f>IFERROR(AVERAGEIF(D64:G64,"&gt;=0"),"")</f>
      </c>
      <c r="I64">
        <f>IF(H64="","",IFERROR(INDEX({"Q1","Q2","Q3","Q4"},MATCH(MAX(D64:G64),D64:G64,0)),""))</f>
      </c>
      <c r="J64">
        <f>IF(H64="","",IFERROR(INDEX({"Q1","Q2","Q3","Q4"},MATCH(AGGREGATE(5,6,D64:G64),D64:G64,0)),""))</f>
      </c>
      <c r="K64">
        <f>IF(OR(D64="",E64=""),"",E64-D64)</f>
      </c>
      <c r="L64">
        <f>IF(H64="","",RANK(H64,$H$2:$H$118,0))</f>
      </c>
    </row>
    <row r="65" spans="1:12" x14ac:dyDescent="0.25">
      <c r="A65" s="2" t="s">
        <v>339</v>
      </c>
      <c r="B65" s="2" t="s">
        <v>340</v>
      </c>
      <c r="C65" s="2" t="s">
        <v>173</v>
      </c>
      <c r="D65" s="2">
        <f>IF('Quarterly Results'!F65="","",'Quarterly Results'!F65)</f>
      </c>
      <c r="E65" s="2">
        <f>IF('Quarterly Results'!N65="","",'Quarterly Results'!N65)</f>
      </c>
      <c r="F65" s="2">
        <f>IF('Quarterly Results'!X65="","",'Quarterly Results'!X65)</f>
      </c>
      <c r="G65" s="2">
        <f>IF('Quarterly Results'!AH65="","",'Quarterly Results'!AH65)</f>
      </c>
      <c r="H65" s="2">
        <f>IFERROR(AVERAGEIF(D65:G65,"&gt;=0"),"")</f>
      </c>
      <c r="I65" s="2">
        <f>IF(H65="","",IFERROR(INDEX({"Q1","Q2","Q3","Q4"},MATCH(MAX(D65:G65),D65:G65,0)),""))</f>
      </c>
      <c r="J65" s="2">
        <f>IF(H65="","",IFERROR(INDEX({"Q1","Q2","Q3","Q4"},MATCH(AGGREGATE(5,6,D65:G65),D65:G65,0)),""))</f>
      </c>
      <c r="K65" s="2">
        <f>IF(OR(D65="",E65=""),"",E65-D65)</f>
      </c>
      <c r="L65" s="2">
        <f>IF(H65="","",RANK(H65,$H$2:$H$118,0))</f>
      </c>
    </row>
    <row r="66" spans="1:12" x14ac:dyDescent="0.25">
      <c r="A66" t="s">
        <v>342</v>
      </c>
      <c r="B66" t="s">
        <v>343</v>
      </c>
      <c r="C66" t="s">
        <v>222</v>
      </c>
      <c r="D66">
        <f>IF('Quarterly Results'!F66="","",'Quarterly Results'!F66)</f>
      </c>
      <c r="E66">
        <f>IF('Quarterly Results'!N66="","",'Quarterly Results'!N66)</f>
      </c>
      <c r="F66">
        <f>IF('Quarterly Results'!X66="","",'Quarterly Results'!X66)</f>
      </c>
      <c r="G66">
        <f>IF('Quarterly Results'!AH66="","",'Quarterly Results'!AH66)</f>
      </c>
      <c r="H66">
        <f>IFERROR(AVERAGEIF(D66:G66,"&gt;=0"),"")</f>
      </c>
      <c r="I66">
        <f>IF(H66="","",IFERROR(INDEX({"Q1","Q2","Q3","Q4"},MATCH(MAX(D66:G66),D66:G66,0)),""))</f>
      </c>
      <c r="J66">
        <f>IF(H66="","",IFERROR(INDEX({"Q1","Q2","Q3","Q4"},MATCH(AGGREGATE(5,6,D66:G66),D66:G66,0)),""))</f>
      </c>
      <c r="K66">
        <f>IF(OR(D66="",E66=""),"",E66-D66)</f>
      </c>
      <c r="L66">
        <f>IF(H66="","",RANK(H66,$H$2:$H$118,0))</f>
      </c>
    </row>
    <row r="67" spans="1:12" x14ac:dyDescent="0.25">
      <c r="A67" s="2" t="s">
        <v>345</v>
      </c>
      <c r="B67" s="2" t="s">
        <v>346</v>
      </c>
      <c r="C67" s="2" t="s">
        <v>173</v>
      </c>
      <c r="D67" s="2">
        <f>IF('Quarterly Results'!F67="","",'Quarterly Results'!F67)</f>
      </c>
      <c r="E67" s="2">
        <f>IF('Quarterly Results'!N67="","",'Quarterly Results'!N67)</f>
      </c>
      <c r="F67" s="2">
        <f>IF('Quarterly Results'!X67="","",'Quarterly Results'!X67)</f>
      </c>
      <c r="G67" s="2">
        <f>IF('Quarterly Results'!AH67="","",'Quarterly Results'!AH67)</f>
      </c>
      <c r="H67" s="2">
        <f>IFERROR(AVERAGEIF(D67:G67,"&gt;=0"),"")</f>
      </c>
      <c r="I67" s="2">
        <f>IF(H67="","",IFERROR(INDEX({"Q1","Q2","Q3","Q4"},MATCH(MAX(D67:G67),D67:G67,0)),""))</f>
      </c>
      <c r="J67" s="2">
        <f>IF(H67="","",IFERROR(INDEX({"Q1","Q2","Q3","Q4"},MATCH(AGGREGATE(5,6,D67:G67),D67:G67,0)),""))</f>
      </c>
      <c r="K67" s="2">
        <f>IF(OR(D67="",E67=""),"",E67-D67)</f>
      </c>
      <c r="L67" s="2">
        <f>IF(H67="","",RANK(H67,$H$2:$H$118,0))</f>
      </c>
    </row>
    <row r="68" spans="1:12" x14ac:dyDescent="0.25">
      <c r="A68" t="s">
        <v>348</v>
      </c>
      <c r="B68" t="s">
        <v>349</v>
      </c>
      <c r="C68" t="s">
        <v>173</v>
      </c>
      <c r="D68">
        <f>IF('Quarterly Results'!F68="","",'Quarterly Results'!F68)</f>
      </c>
      <c r="E68">
        <f>IF('Quarterly Results'!N68="","",'Quarterly Results'!N68)</f>
      </c>
      <c r="F68">
        <f>IF('Quarterly Results'!X68="","",'Quarterly Results'!X68)</f>
      </c>
      <c r="G68">
        <f>IF('Quarterly Results'!AH68="","",'Quarterly Results'!AH68)</f>
      </c>
      <c r="H68">
        <f>IFERROR(AVERAGEIF(D68:G68,"&gt;=0"),"")</f>
      </c>
      <c r="I68">
        <f>IF(H68="","",IFERROR(INDEX({"Q1","Q2","Q3","Q4"},MATCH(MAX(D68:G68),D68:G68,0)),""))</f>
      </c>
      <c r="J68">
        <f>IF(H68="","",IFERROR(INDEX({"Q1","Q2","Q3","Q4"},MATCH(AGGREGATE(5,6,D68:G68),D68:G68,0)),""))</f>
      </c>
      <c r="K68">
        <f>IF(OR(D68="",E68=""),"",E68-D68)</f>
      </c>
      <c r="L68">
        <f>IF(H68="","",RANK(H68,$H$2:$H$118,0))</f>
      </c>
    </row>
    <row r="69" spans="1:12" x14ac:dyDescent="0.25">
      <c r="A69" s="2" t="s">
        <v>351</v>
      </c>
      <c r="B69" s="2" t="s">
        <v>352</v>
      </c>
      <c r="C69" s="2" t="s">
        <v>222</v>
      </c>
      <c r="D69" s="2">
        <f>IF('Quarterly Results'!F69="","",'Quarterly Results'!F69)</f>
      </c>
      <c r="E69" s="2">
        <f>IF('Quarterly Results'!N69="","",'Quarterly Results'!N69)</f>
      </c>
      <c r="F69" s="2">
        <f>IF('Quarterly Results'!X69="","",'Quarterly Results'!X69)</f>
      </c>
      <c r="G69" s="2">
        <f>IF('Quarterly Results'!AH69="","",'Quarterly Results'!AH69)</f>
      </c>
      <c r="H69" s="2">
        <f>IFERROR(AVERAGEIF(D69:G69,"&gt;=0"),"")</f>
      </c>
      <c r="I69" s="2">
        <f>IF(H69="","",IFERROR(INDEX({"Q1","Q2","Q3","Q4"},MATCH(MAX(D69:G69),D69:G69,0)),""))</f>
      </c>
      <c r="J69" s="2">
        <f>IF(H69="","",IFERROR(INDEX({"Q1","Q2","Q3","Q4"},MATCH(AGGREGATE(5,6,D69:G69),D69:G69,0)),""))</f>
      </c>
      <c r="K69" s="2">
        <f>IF(OR(D69="",E69=""),"",E69-D69)</f>
      </c>
      <c r="L69" s="2">
        <f>IF(H69="","",RANK(H69,$H$2:$H$118,0))</f>
      </c>
    </row>
    <row r="70" spans="1:12" x14ac:dyDescent="0.25">
      <c r="A70" t="s">
        <v>353</v>
      </c>
      <c r="B70" t="s">
        <v>354</v>
      </c>
      <c r="C70" t="s">
        <v>173</v>
      </c>
      <c r="D70">
        <f>IF('Quarterly Results'!F70="","",'Quarterly Results'!F70)</f>
      </c>
      <c r="E70">
        <f>IF('Quarterly Results'!N70="","",'Quarterly Results'!N70)</f>
      </c>
      <c r="F70">
        <f>IF('Quarterly Results'!X70="","",'Quarterly Results'!X70)</f>
      </c>
      <c r="G70">
        <f>IF('Quarterly Results'!AH70="","",'Quarterly Results'!AH70)</f>
      </c>
      <c r="H70">
        <f>IFERROR(AVERAGEIF(D70:G70,"&gt;=0"),"")</f>
      </c>
      <c r="I70">
        <f>IF(H70="","",IFERROR(INDEX({"Q1","Q2","Q3","Q4"},MATCH(MAX(D70:G70),D70:G70,0)),""))</f>
      </c>
      <c r="J70">
        <f>IF(H70="","",IFERROR(INDEX({"Q1","Q2","Q3","Q4"},MATCH(AGGREGATE(5,6,D70:G70),D70:G70,0)),""))</f>
      </c>
      <c r="K70">
        <f>IF(OR(D70="",E70=""),"",E70-D70)</f>
      </c>
      <c r="L70">
        <f>IF(H70="","",RANK(H70,$H$2:$H$118,0))</f>
      </c>
    </row>
    <row r="71" spans="1:12" x14ac:dyDescent="0.25">
      <c r="A71" s="2" t="s">
        <v>356</v>
      </c>
      <c r="B71" s="2" t="s">
        <v>357</v>
      </c>
      <c r="C71" s="2" t="s">
        <v>173</v>
      </c>
      <c r="D71" s="2">
        <f>IF('Quarterly Results'!F71="","",'Quarterly Results'!F71)</f>
      </c>
      <c r="E71" s="2">
        <f>IF('Quarterly Results'!N71="","",'Quarterly Results'!N71)</f>
      </c>
      <c r="F71" s="2">
        <f>IF('Quarterly Results'!X71="","",'Quarterly Results'!X71)</f>
      </c>
      <c r="G71" s="2">
        <f>IF('Quarterly Results'!AH71="","",'Quarterly Results'!AH71)</f>
      </c>
      <c r="H71" s="2">
        <f>IFERROR(AVERAGEIF(D71:G71,"&gt;=0"),"")</f>
      </c>
      <c r="I71" s="2">
        <f>IF(H71="","",IFERROR(INDEX({"Q1","Q2","Q3","Q4"},MATCH(MAX(D71:G71),D71:G71,0)),""))</f>
      </c>
      <c r="J71" s="2">
        <f>IF(H71="","",IFERROR(INDEX({"Q1","Q2","Q3","Q4"},MATCH(AGGREGATE(5,6,D71:G71),D71:G71,0)),""))</f>
      </c>
      <c r="K71" s="2">
        <f>IF(OR(D71="",E71=""),"",E71-D71)</f>
      </c>
      <c r="L71" s="2">
        <f>IF(H71="","",RANK(H71,$H$2:$H$118,0))</f>
      </c>
    </row>
    <row r="72" spans="1:12" x14ac:dyDescent="0.25">
      <c r="A72" t="s">
        <v>358</v>
      </c>
      <c r="B72" t="s">
        <v>359</v>
      </c>
      <c r="C72" t="s">
        <v>202</v>
      </c>
      <c r="D72">
        <f>IF('Quarterly Results'!F72="","",'Quarterly Results'!F72)</f>
      </c>
      <c r="E72">
        <f>IF('Quarterly Results'!N72="","",'Quarterly Results'!N72)</f>
      </c>
      <c r="F72">
        <f>IF('Quarterly Results'!X72="","",'Quarterly Results'!X72)</f>
      </c>
      <c r="G72">
        <f>IF('Quarterly Results'!AH72="","",'Quarterly Results'!AH72)</f>
      </c>
      <c r="H72">
        <f>IFERROR(AVERAGEIF(D72:G72,"&gt;=0"),"")</f>
      </c>
      <c r="I72">
        <f>IF(H72="","",IFERROR(INDEX({"Q1","Q2","Q3","Q4"},MATCH(MAX(D72:G72),D72:G72,0)),""))</f>
      </c>
      <c r="J72">
        <f>IF(H72="","",IFERROR(INDEX({"Q1","Q2","Q3","Q4"},MATCH(AGGREGATE(5,6,D72:G72),D72:G72,0)),""))</f>
      </c>
      <c r="K72">
        <f>IF(OR(D72="",E72=""),"",E72-D72)</f>
      </c>
      <c r="L72">
        <f>IF(H72="","",RANK(H72,$H$2:$H$118,0))</f>
      </c>
    </row>
    <row r="73" spans="1:12" x14ac:dyDescent="0.25">
      <c r="A73" s="2" t="s">
        <v>361</v>
      </c>
      <c r="B73" s="2" t="s">
        <v>362</v>
      </c>
      <c r="C73" s="2" t="s">
        <v>202</v>
      </c>
      <c r="D73" s="2">
        <f>IF('Quarterly Results'!F73="","",'Quarterly Results'!F73)</f>
      </c>
      <c r="E73" s="2">
        <f>IF('Quarterly Results'!N73="","",'Quarterly Results'!N73)</f>
      </c>
      <c r="F73" s="2">
        <f>IF('Quarterly Results'!X73="","",'Quarterly Results'!X73)</f>
      </c>
      <c r="G73" s="2">
        <f>IF('Quarterly Results'!AH73="","",'Quarterly Results'!AH73)</f>
      </c>
      <c r="H73" s="2">
        <f>IFERROR(AVERAGEIF(D73:G73,"&gt;=0"),"")</f>
      </c>
      <c r="I73" s="2">
        <f>IF(H73="","",IFERROR(INDEX({"Q1","Q2","Q3","Q4"},MATCH(MAX(D73:G73),D73:G73,0)),""))</f>
      </c>
      <c r="J73" s="2">
        <f>IF(H73="","",IFERROR(INDEX({"Q1","Q2","Q3","Q4"},MATCH(AGGREGATE(5,6,D73:G73),D73:G73,0)),""))</f>
      </c>
      <c r="K73" s="2">
        <f>IF(OR(D73="",E73=""),"",E73-D73)</f>
      </c>
      <c r="L73" s="2">
        <f>IF(H73="","",RANK(H73,$H$2:$H$118,0))</f>
      </c>
    </row>
    <row r="74" spans="1:12" x14ac:dyDescent="0.25">
      <c r="A74" t="s">
        <v>363</v>
      </c>
      <c r="B74" t="s">
        <v>364</v>
      </c>
      <c r="C74" t="s">
        <v>202</v>
      </c>
      <c r="D74">
        <f>IF('Quarterly Results'!F74="","",'Quarterly Results'!F74)</f>
      </c>
      <c r="E74">
        <f>IF('Quarterly Results'!N74="","",'Quarterly Results'!N74)</f>
      </c>
      <c r="F74">
        <f>IF('Quarterly Results'!X74="","",'Quarterly Results'!X74)</f>
      </c>
      <c r="G74">
        <f>IF('Quarterly Results'!AH74="","",'Quarterly Results'!AH74)</f>
      </c>
      <c r="H74">
        <f>IFERROR(AVERAGEIF(D74:G74,"&gt;=0"),"")</f>
      </c>
      <c r="I74">
        <f>IF(H74="","",IFERROR(INDEX({"Q1","Q2","Q3","Q4"},MATCH(MAX(D74:G74),D74:G74,0)),""))</f>
      </c>
      <c r="J74">
        <f>IF(H74="","",IFERROR(INDEX({"Q1","Q2","Q3","Q4"},MATCH(AGGREGATE(5,6,D74:G74),D74:G74,0)),""))</f>
      </c>
      <c r="K74">
        <f>IF(OR(D74="",E74=""),"",E74-D74)</f>
      </c>
      <c r="L74">
        <f>IF(H74="","",RANK(H74,$H$2:$H$118,0))</f>
      </c>
    </row>
    <row r="75" spans="1:12" x14ac:dyDescent="0.25">
      <c r="A75" s="2" t="s">
        <v>365</v>
      </c>
      <c r="B75" s="2" t="s">
        <v>365</v>
      </c>
      <c r="C75" s="2" t="s">
        <v>202</v>
      </c>
      <c r="D75" s="2">
        <f>IF('Quarterly Results'!F75="","",'Quarterly Results'!F75)</f>
      </c>
      <c r="E75" s="2">
        <f>IF('Quarterly Results'!N75="","",'Quarterly Results'!N75)</f>
      </c>
      <c r="F75" s="2">
        <f>IF('Quarterly Results'!X75="","",'Quarterly Results'!X75)</f>
      </c>
      <c r="G75" s="2">
        <f>IF('Quarterly Results'!AH75="","",'Quarterly Results'!AH75)</f>
      </c>
      <c r="H75" s="2">
        <f>IFERROR(AVERAGEIF(D75:G75,"&gt;=0"),"")</f>
      </c>
      <c r="I75" s="2">
        <f>IF(H75="","",IFERROR(INDEX({"Q1","Q2","Q3","Q4"},MATCH(MAX(D75:G75),D75:G75,0)),""))</f>
      </c>
      <c r="J75" s="2">
        <f>IF(H75="","",IFERROR(INDEX({"Q1","Q2","Q3","Q4"},MATCH(AGGREGATE(5,6,D75:G75),D75:G75,0)),""))</f>
      </c>
      <c r="K75" s="2">
        <f>IF(OR(D75="",E75=""),"",E75-D75)</f>
      </c>
      <c r="L75" s="2">
        <f>IF(H75="","",RANK(H75,$H$2:$H$118,0))</f>
      </c>
    </row>
    <row r="76" spans="1:12" x14ac:dyDescent="0.25">
      <c r="A76" t="s">
        <v>366</v>
      </c>
      <c r="B76" t="s">
        <v>367</v>
      </c>
      <c r="C76" t="s">
        <v>202</v>
      </c>
      <c r="D76">
        <f>IF('Quarterly Results'!F76="","",'Quarterly Results'!F76)</f>
      </c>
      <c r="E76">
        <f>IF('Quarterly Results'!N76="","",'Quarterly Results'!N76)</f>
      </c>
      <c r="F76">
        <f>IF('Quarterly Results'!X76="","",'Quarterly Results'!X76)</f>
      </c>
      <c r="G76">
        <f>IF('Quarterly Results'!AH76="","",'Quarterly Results'!AH76)</f>
      </c>
      <c r="H76">
        <f>IFERROR(AVERAGEIF(D76:G76,"&gt;=0"),"")</f>
      </c>
      <c r="I76">
        <f>IF(H76="","",IFERROR(INDEX({"Q1","Q2","Q3","Q4"},MATCH(MAX(D76:G76),D76:G76,0)),""))</f>
      </c>
      <c r="J76">
        <f>IF(H76="","",IFERROR(INDEX({"Q1","Q2","Q3","Q4"},MATCH(AGGREGATE(5,6,D76:G76),D76:G76,0)),""))</f>
      </c>
      <c r="K76">
        <f>IF(OR(D76="",E76=""),"",E76-D76)</f>
      </c>
      <c r="L76">
        <f>IF(H76="","",RANK(H76,$H$2:$H$118,0))</f>
      </c>
    </row>
    <row r="77" spans="1:12" x14ac:dyDescent="0.25">
      <c r="A77" s="2" t="s">
        <v>368</v>
      </c>
      <c r="B77" s="2" t="s">
        <v>369</v>
      </c>
      <c r="C77" s="2" t="s">
        <v>202</v>
      </c>
      <c r="D77" s="2">
        <f>IF('Quarterly Results'!F77="","",'Quarterly Results'!F77)</f>
      </c>
      <c r="E77" s="2">
        <f>IF('Quarterly Results'!N77="","",'Quarterly Results'!N77)</f>
      </c>
      <c r="F77" s="2">
        <f>IF('Quarterly Results'!X77="","",'Quarterly Results'!X77)</f>
      </c>
      <c r="G77" s="2">
        <f>IF('Quarterly Results'!AH77="","",'Quarterly Results'!AH77)</f>
      </c>
      <c r="H77" s="2">
        <f>IFERROR(AVERAGEIF(D77:G77,"&gt;=0"),"")</f>
      </c>
      <c r="I77" s="2">
        <f>IF(H77="","",IFERROR(INDEX({"Q1","Q2","Q3","Q4"},MATCH(MAX(D77:G77),D77:G77,0)),""))</f>
      </c>
      <c r="J77" s="2">
        <f>IF(H77="","",IFERROR(INDEX({"Q1","Q2","Q3","Q4"},MATCH(AGGREGATE(5,6,D77:G77),D77:G77,0)),""))</f>
      </c>
      <c r="K77" s="2">
        <f>IF(OR(D77="",E77=""),"",E77-D77)</f>
      </c>
      <c r="L77" s="2">
        <f>IF(H77="","",RANK(H77,$H$2:$H$118,0))</f>
      </c>
    </row>
    <row r="78" spans="1:12" x14ac:dyDescent="0.25">
      <c r="A78" t="s">
        <v>370</v>
      </c>
      <c r="B78" t="s">
        <v>371</v>
      </c>
      <c r="C78" t="s">
        <v>202</v>
      </c>
      <c r="D78">
        <f>IF('Quarterly Results'!F78="","",'Quarterly Results'!F78)</f>
      </c>
      <c r="E78">
        <f>IF('Quarterly Results'!N78="","",'Quarterly Results'!N78)</f>
      </c>
      <c r="F78">
        <f>IF('Quarterly Results'!X78="","",'Quarterly Results'!X78)</f>
      </c>
      <c r="G78">
        <f>IF('Quarterly Results'!AH78="","",'Quarterly Results'!AH78)</f>
      </c>
      <c r="H78">
        <f>IFERROR(AVERAGEIF(D78:G78,"&gt;=0"),"")</f>
      </c>
      <c r="I78">
        <f>IF(H78="","",IFERROR(INDEX({"Q1","Q2","Q3","Q4"},MATCH(MAX(D78:G78),D78:G78,0)),""))</f>
      </c>
      <c r="J78">
        <f>IF(H78="","",IFERROR(INDEX({"Q1","Q2","Q3","Q4"},MATCH(AGGREGATE(5,6,D78:G78),D78:G78,0)),""))</f>
      </c>
      <c r="K78">
        <f>IF(OR(D78="",E78=""),"",E78-D78)</f>
      </c>
      <c r="L78">
        <f>IF(H78="","",RANK(H78,$H$2:$H$118,0))</f>
      </c>
    </row>
    <row r="79" spans="1:12" x14ac:dyDescent="0.25">
      <c r="A79" s="2" t="s">
        <v>372</v>
      </c>
      <c r="B79" s="2" t="s">
        <v>372</v>
      </c>
      <c r="C79" s="2" t="s">
        <v>202</v>
      </c>
      <c r="D79" s="2">
        <f>IF('Quarterly Results'!F79="","",'Quarterly Results'!F79)</f>
      </c>
      <c r="E79" s="2">
        <f>IF('Quarterly Results'!N79="","",'Quarterly Results'!N79)</f>
      </c>
      <c r="F79" s="2">
        <f>IF('Quarterly Results'!X79="","",'Quarterly Results'!X79)</f>
      </c>
      <c r="G79" s="2">
        <f>IF('Quarterly Results'!AH79="","",'Quarterly Results'!AH79)</f>
      </c>
      <c r="H79" s="2">
        <f>IFERROR(AVERAGEIF(D79:G79,"&gt;=0"),"")</f>
      </c>
      <c r="I79" s="2">
        <f>IF(H79="","",IFERROR(INDEX({"Q1","Q2","Q3","Q4"},MATCH(MAX(D79:G79),D79:G79,0)),""))</f>
      </c>
      <c r="J79" s="2">
        <f>IF(H79="","",IFERROR(INDEX({"Q1","Q2","Q3","Q4"},MATCH(AGGREGATE(5,6,D79:G79),D79:G79,0)),""))</f>
      </c>
      <c r="K79" s="2">
        <f>IF(OR(D79="",E79=""),"",E79-D79)</f>
      </c>
      <c r="L79" s="2">
        <f>IF(H79="","",RANK(H79,$H$2:$H$118,0))</f>
      </c>
    </row>
    <row r="80" spans="1:12" x14ac:dyDescent="0.25">
      <c r="A80" t="s">
        <v>374</v>
      </c>
      <c r="B80" t="s">
        <v>374</v>
      </c>
      <c r="C80" t="s">
        <v>202</v>
      </c>
      <c r="D80">
        <f>IF('Quarterly Results'!F80="","",'Quarterly Results'!F80)</f>
      </c>
      <c r="E80">
        <f>IF('Quarterly Results'!N80="","",'Quarterly Results'!N80)</f>
      </c>
      <c r="F80">
        <f>IF('Quarterly Results'!X80="","",'Quarterly Results'!X80)</f>
      </c>
      <c r="G80">
        <f>IF('Quarterly Results'!AH80="","",'Quarterly Results'!AH80)</f>
      </c>
      <c r="H80">
        <f>IFERROR(AVERAGEIF(D80:G80,"&gt;=0"),"")</f>
      </c>
      <c r="I80">
        <f>IF(H80="","",IFERROR(INDEX({"Q1","Q2","Q3","Q4"},MATCH(MAX(D80:G80),D80:G80,0)),""))</f>
      </c>
      <c r="J80">
        <f>IF(H80="","",IFERROR(INDEX({"Q1","Q2","Q3","Q4"},MATCH(AGGREGATE(5,6,D80:G80),D80:G80,0)),""))</f>
      </c>
      <c r="K80">
        <f>IF(OR(D80="",E80=""),"",E80-D80)</f>
      </c>
      <c r="L80">
        <f>IF(H80="","",RANK(H80,$H$2:$H$118,0))</f>
      </c>
    </row>
    <row r="81" spans="1:12" x14ac:dyDescent="0.25">
      <c r="A81" s="2" t="s">
        <v>375</v>
      </c>
      <c r="B81" s="2" t="s">
        <v>375</v>
      </c>
      <c r="C81" s="2" t="s">
        <v>202</v>
      </c>
      <c r="D81" s="2">
        <f>IF('Quarterly Results'!F81="","",'Quarterly Results'!F81)</f>
      </c>
      <c r="E81" s="2">
        <f>IF('Quarterly Results'!N81="","",'Quarterly Results'!N81)</f>
      </c>
      <c r="F81" s="2">
        <f>IF('Quarterly Results'!X81="","",'Quarterly Results'!X81)</f>
      </c>
      <c r="G81" s="2">
        <f>IF('Quarterly Results'!AH81="","",'Quarterly Results'!AH81)</f>
      </c>
      <c r="H81" s="2">
        <f>IFERROR(AVERAGEIF(D81:G81,"&gt;=0"),"")</f>
      </c>
      <c r="I81" s="2">
        <f>IF(H81="","",IFERROR(INDEX({"Q1","Q2","Q3","Q4"},MATCH(MAX(D81:G81),D81:G81,0)),""))</f>
      </c>
      <c r="J81" s="2">
        <f>IF(H81="","",IFERROR(INDEX({"Q1","Q2","Q3","Q4"},MATCH(AGGREGATE(5,6,D81:G81),D81:G81,0)),""))</f>
      </c>
      <c r="K81" s="2">
        <f>IF(OR(D81="",E81=""),"",E81-D81)</f>
      </c>
      <c r="L81" s="2">
        <f>IF(H81="","",RANK(H81,$H$2:$H$118,0))</f>
      </c>
    </row>
    <row r="82" spans="1:12" x14ac:dyDescent="0.25">
      <c r="A82" t="s">
        <v>376</v>
      </c>
      <c r="B82" t="s">
        <v>377</v>
      </c>
      <c r="C82" t="s">
        <v>222</v>
      </c>
      <c r="D82">
        <f>IF('Quarterly Results'!F82="","",'Quarterly Results'!F82)</f>
      </c>
      <c r="E82">
        <f>IF('Quarterly Results'!N82="","",'Quarterly Results'!N82)</f>
      </c>
      <c r="F82">
        <f>IF('Quarterly Results'!X82="","",'Quarterly Results'!X82)</f>
      </c>
      <c r="G82">
        <f>IF('Quarterly Results'!AH82="","",'Quarterly Results'!AH82)</f>
      </c>
      <c r="H82">
        <f>IFERROR(AVERAGEIF(D82:G82,"&gt;=0"),"")</f>
      </c>
      <c r="I82">
        <f>IF(H82="","",IFERROR(INDEX({"Q1","Q2","Q3","Q4"},MATCH(MAX(D82:G82),D82:G82,0)),""))</f>
      </c>
      <c r="J82">
        <f>IF(H82="","",IFERROR(INDEX({"Q1","Q2","Q3","Q4"},MATCH(AGGREGATE(5,6,D82:G82),D82:G82,0)),""))</f>
      </c>
      <c r="K82">
        <f>IF(OR(D82="",E82=""),"",E82-D82)</f>
      </c>
      <c r="L82">
        <f>IF(H82="","",RANK(H82,$H$2:$H$118,0))</f>
      </c>
    </row>
    <row r="83" spans="1:12" x14ac:dyDescent="0.25">
      <c r="A83" s="2" t="s">
        <v>379</v>
      </c>
      <c r="B83" s="2" t="s">
        <v>380</v>
      </c>
      <c r="C83" s="2" t="s">
        <v>222</v>
      </c>
      <c r="D83" s="2">
        <f>IF('Quarterly Results'!F83="","",'Quarterly Results'!F83)</f>
      </c>
      <c r="E83" s="2">
        <f>IF('Quarterly Results'!N83="","",'Quarterly Results'!N83)</f>
      </c>
      <c r="F83" s="2">
        <f>IF('Quarterly Results'!X83="","",'Quarterly Results'!X83)</f>
      </c>
      <c r="G83" s="2">
        <f>IF('Quarterly Results'!AH83="","",'Quarterly Results'!AH83)</f>
      </c>
      <c r="H83" s="2">
        <f>IFERROR(AVERAGEIF(D83:G83,"&gt;=0"),"")</f>
      </c>
      <c r="I83" s="2">
        <f>IF(H83="","",IFERROR(INDEX({"Q1","Q2","Q3","Q4"},MATCH(MAX(D83:G83),D83:G83,0)),""))</f>
      </c>
      <c r="J83" s="2">
        <f>IF(H83="","",IFERROR(INDEX({"Q1","Q2","Q3","Q4"},MATCH(AGGREGATE(5,6,D83:G83),D83:G83,0)),""))</f>
      </c>
      <c r="K83" s="2">
        <f>IF(OR(D83="",E83=""),"",E83-D83)</f>
      </c>
      <c r="L83" s="2">
        <f>IF(H83="","",RANK(H83,$H$2:$H$118,0))</f>
      </c>
    </row>
    <row r="84" spans="1:12" x14ac:dyDescent="0.25">
      <c r="A84" t="s">
        <v>381</v>
      </c>
      <c r="B84" t="s">
        <v>381</v>
      </c>
      <c r="C84" t="s">
        <v>202</v>
      </c>
      <c r="D84">
        <f>IF('Quarterly Results'!F84="","",'Quarterly Results'!F84)</f>
      </c>
      <c r="E84">
        <f>IF('Quarterly Results'!N84="","",'Quarterly Results'!N84)</f>
      </c>
      <c r="F84">
        <f>IF('Quarterly Results'!X84="","",'Quarterly Results'!X84)</f>
      </c>
      <c r="G84">
        <f>IF('Quarterly Results'!AH84="","",'Quarterly Results'!AH84)</f>
      </c>
      <c r="H84">
        <f>IFERROR(AVERAGEIF(D84:G84,"&gt;=0"),"")</f>
      </c>
      <c r="I84">
        <f>IF(H84="","",IFERROR(INDEX({"Q1","Q2","Q3","Q4"},MATCH(MAX(D84:G84),D84:G84,0)),""))</f>
      </c>
      <c r="J84">
        <f>IF(H84="","",IFERROR(INDEX({"Q1","Q2","Q3","Q4"},MATCH(AGGREGATE(5,6,D84:G84),D84:G84,0)),""))</f>
      </c>
      <c r="K84">
        <f>IF(OR(D84="",E84=""),"",E84-D84)</f>
      </c>
      <c r="L84">
        <f>IF(H84="","",RANK(H84,$H$2:$H$118,0))</f>
      </c>
    </row>
    <row r="85" spans="1:12" x14ac:dyDescent="0.25">
      <c r="A85" s="2" t="s">
        <v>383</v>
      </c>
      <c r="B85" s="2" t="s">
        <v>384</v>
      </c>
      <c r="C85" s="2" t="s">
        <v>173</v>
      </c>
      <c r="D85" s="2">
        <f>IF('Quarterly Results'!F85="","",'Quarterly Results'!F85)</f>
      </c>
      <c r="E85" s="2">
        <f>IF('Quarterly Results'!N85="","",'Quarterly Results'!N85)</f>
      </c>
      <c r="F85" s="2">
        <f>IF('Quarterly Results'!X85="","",'Quarterly Results'!X85)</f>
      </c>
      <c r="G85" s="2">
        <f>IF('Quarterly Results'!AH85="","",'Quarterly Results'!AH85)</f>
      </c>
      <c r="H85" s="2">
        <f>IFERROR(AVERAGEIF(D85:G85,"&gt;=0"),"")</f>
      </c>
      <c r="I85" s="2">
        <f>IF(H85="","",IFERROR(INDEX({"Q1","Q2","Q3","Q4"},MATCH(MAX(D85:G85),D85:G85,0)),""))</f>
      </c>
      <c r="J85" s="2">
        <f>IF(H85="","",IFERROR(INDEX({"Q1","Q2","Q3","Q4"},MATCH(AGGREGATE(5,6,D85:G85),D85:G85,0)),""))</f>
      </c>
      <c r="K85" s="2">
        <f>IF(OR(D85="",E85=""),"",E85-D85)</f>
      </c>
      <c r="L85" s="2">
        <f>IF(H85="","",RANK(H85,$H$2:$H$118,0))</f>
      </c>
    </row>
    <row r="86" spans="1:12" x14ac:dyDescent="0.25">
      <c r="A86" t="s">
        <v>385</v>
      </c>
      <c r="B86" t="s">
        <v>385</v>
      </c>
      <c r="C86" t="s">
        <v>173</v>
      </c>
      <c r="D86">
        <f>IF('Quarterly Results'!F86="","",'Quarterly Results'!F86)</f>
      </c>
      <c r="E86">
        <f>IF('Quarterly Results'!N86="","",'Quarterly Results'!N86)</f>
      </c>
      <c r="F86">
        <f>IF('Quarterly Results'!X86="","",'Quarterly Results'!X86)</f>
      </c>
      <c r="G86">
        <f>IF('Quarterly Results'!AH86="","",'Quarterly Results'!AH86)</f>
      </c>
      <c r="H86">
        <f>IFERROR(AVERAGEIF(D86:G86,"&gt;=0"),"")</f>
      </c>
      <c r="I86">
        <f>IF(H86="","",IFERROR(INDEX({"Q1","Q2","Q3","Q4"},MATCH(MAX(D86:G86),D86:G86,0)),""))</f>
      </c>
      <c r="J86">
        <f>IF(H86="","",IFERROR(INDEX({"Q1","Q2","Q3","Q4"},MATCH(AGGREGATE(5,6,D86:G86),D86:G86,0)),""))</f>
      </c>
      <c r="K86">
        <f>IF(OR(D86="",E86=""),"",E86-D86)</f>
      </c>
      <c r="L86">
        <f>IF(H86="","",RANK(H86,$H$2:$H$118,0))</f>
      </c>
    </row>
    <row r="87" spans="1:12" x14ac:dyDescent="0.25">
      <c r="A87" s="2" t="s">
        <v>386</v>
      </c>
      <c r="B87" s="2" t="s">
        <v>387</v>
      </c>
      <c r="C87" s="2" t="s">
        <v>202</v>
      </c>
      <c r="D87" s="2">
        <f>IF('Quarterly Results'!F87="","",'Quarterly Results'!F87)</f>
      </c>
      <c r="E87" s="2">
        <f>IF('Quarterly Results'!N87="","",'Quarterly Results'!N87)</f>
      </c>
      <c r="F87" s="2">
        <f>IF('Quarterly Results'!X87="","",'Quarterly Results'!X87)</f>
      </c>
      <c r="G87" s="2">
        <f>IF('Quarterly Results'!AH87="","",'Quarterly Results'!AH87)</f>
      </c>
      <c r="H87" s="2">
        <f>IFERROR(AVERAGEIF(D87:G87,"&gt;=0"),"")</f>
      </c>
      <c r="I87" s="2">
        <f>IF(H87="","",IFERROR(INDEX({"Q1","Q2","Q3","Q4"},MATCH(MAX(D87:G87),D87:G87,0)),""))</f>
      </c>
      <c r="J87" s="2">
        <f>IF(H87="","",IFERROR(INDEX({"Q1","Q2","Q3","Q4"},MATCH(AGGREGATE(5,6,D87:G87),D87:G87,0)),""))</f>
      </c>
      <c r="K87" s="2">
        <f>IF(OR(D87="",E87=""),"",E87-D87)</f>
      </c>
      <c r="L87" s="2">
        <f>IF(H87="","",RANK(H87,$H$2:$H$118,0))</f>
      </c>
    </row>
    <row r="88" spans="1:12" x14ac:dyDescent="0.25">
      <c r="A88" t="s">
        <v>388</v>
      </c>
      <c r="B88" t="s">
        <v>388</v>
      </c>
      <c r="C88" t="s">
        <v>202</v>
      </c>
      <c r="D88">
        <f>IF('Quarterly Results'!F88="","",'Quarterly Results'!F88)</f>
      </c>
      <c r="E88">
        <f>IF('Quarterly Results'!N88="","",'Quarterly Results'!N88)</f>
      </c>
      <c r="F88">
        <f>IF('Quarterly Results'!X88="","",'Quarterly Results'!X88)</f>
      </c>
      <c r="G88">
        <f>IF('Quarterly Results'!AH88="","",'Quarterly Results'!AH88)</f>
      </c>
      <c r="H88">
        <f>IFERROR(AVERAGEIF(D88:G88,"&gt;=0"),"")</f>
      </c>
      <c r="I88">
        <f>IF(H88="","",IFERROR(INDEX({"Q1","Q2","Q3","Q4"},MATCH(MAX(D88:G88),D88:G88,0)),""))</f>
      </c>
      <c r="J88">
        <f>IF(H88="","",IFERROR(INDEX({"Q1","Q2","Q3","Q4"},MATCH(AGGREGATE(5,6,D88:G88),D88:G88,0)),""))</f>
      </c>
      <c r="K88">
        <f>IF(OR(D88="",E88=""),"",E88-D88)</f>
      </c>
      <c r="L88">
        <f>IF(H88="","",RANK(H88,$H$2:$H$118,0))</f>
      </c>
    </row>
    <row r="89" spans="1:12" x14ac:dyDescent="0.25">
      <c r="A89" s="2" t="s">
        <v>389</v>
      </c>
      <c r="B89" s="2" t="s">
        <v>389</v>
      </c>
      <c r="C89" s="2" t="s">
        <v>222</v>
      </c>
      <c r="D89" s="2">
        <f>IF('Quarterly Results'!F89="","",'Quarterly Results'!F89)</f>
      </c>
      <c r="E89" s="2">
        <f>IF('Quarterly Results'!N89="","",'Quarterly Results'!N89)</f>
      </c>
      <c r="F89" s="2">
        <f>IF('Quarterly Results'!X89="","",'Quarterly Results'!X89)</f>
      </c>
      <c r="G89" s="2">
        <f>IF('Quarterly Results'!AH89="","",'Quarterly Results'!AH89)</f>
      </c>
      <c r="H89" s="2">
        <f>IFERROR(AVERAGEIF(D89:G89,"&gt;=0"),"")</f>
      </c>
      <c r="I89" s="2">
        <f>IF(H89="","",IFERROR(INDEX({"Q1","Q2","Q3","Q4"},MATCH(MAX(D89:G89),D89:G89,0)),""))</f>
      </c>
      <c r="J89" s="2">
        <f>IF(H89="","",IFERROR(INDEX({"Q1","Q2","Q3","Q4"},MATCH(AGGREGATE(5,6,D89:G89),D89:G89,0)),""))</f>
      </c>
      <c r="K89" s="2">
        <f>IF(OR(D89="",E89=""),"",E89-D89)</f>
      </c>
      <c r="L89" s="2">
        <f>IF(H89="","",RANK(H89,$H$2:$H$118,0))</f>
      </c>
    </row>
    <row r="90" spans="1:12" x14ac:dyDescent="0.25">
      <c r="A90" t="s">
        <v>390</v>
      </c>
      <c r="B90" t="s">
        <v>390</v>
      </c>
      <c r="C90" t="s">
        <v>173</v>
      </c>
      <c r="D90">
        <f>IF('Quarterly Results'!F90="","",'Quarterly Results'!F90)</f>
      </c>
      <c r="E90">
        <f>IF('Quarterly Results'!N90="","",'Quarterly Results'!N90)</f>
      </c>
      <c r="F90">
        <f>IF('Quarterly Results'!X90="","",'Quarterly Results'!X90)</f>
      </c>
      <c r="G90">
        <f>IF('Quarterly Results'!AH90="","",'Quarterly Results'!AH90)</f>
      </c>
      <c r="H90">
        <f>IFERROR(AVERAGEIF(D90:G90,"&gt;=0"),"")</f>
      </c>
      <c r="I90">
        <f>IF(H90="","",IFERROR(INDEX({"Q1","Q2","Q3","Q4"},MATCH(MAX(D90:G90),D90:G90,0)),""))</f>
      </c>
      <c r="J90">
        <f>IF(H90="","",IFERROR(INDEX({"Q1","Q2","Q3","Q4"},MATCH(AGGREGATE(5,6,D90:G90),D90:G90,0)),""))</f>
      </c>
      <c r="K90">
        <f>IF(OR(D90="",E90=""),"",E90-D90)</f>
      </c>
      <c r="L90">
        <f>IF(H90="","",RANK(H90,$H$2:$H$118,0))</f>
      </c>
    </row>
    <row r="91" spans="1:12" x14ac:dyDescent="0.25">
      <c r="A91" s="2" t="s">
        <v>391</v>
      </c>
      <c r="B91" s="2" t="s">
        <v>391</v>
      </c>
      <c r="C91" s="2" t="s">
        <v>222</v>
      </c>
      <c r="D91" s="2">
        <f>IF('Quarterly Results'!F91="","",'Quarterly Results'!F91)</f>
      </c>
      <c r="E91" s="2">
        <f>IF('Quarterly Results'!N91="","",'Quarterly Results'!N91)</f>
      </c>
      <c r="F91" s="2">
        <f>IF('Quarterly Results'!X91="","",'Quarterly Results'!X91)</f>
      </c>
      <c r="G91" s="2">
        <f>IF('Quarterly Results'!AH91="","",'Quarterly Results'!AH91)</f>
      </c>
      <c r="H91" s="2">
        <f>IFERROR(AVERAGEIF(D91:G91,"&gt;=0"),"")</f>
      </c>
      <c r="I91" s="2">
        <f>IF(H91="","",IFERROR(INDEX({"Q1","Q2","Q3","Q4"},MATCH(MAX(D91:G91),D91:G91,0)),""))</f>
      </c>
      <c r="J91" s="2">
        <f>IF(H91="","",IFERROR(INDEX({"Q1","Q2","Q3","Q4"},MATCH(AGGREGATE(5,6,D91:G91),D91:G91,0)),""))</f>
      </c>
      <c r="K91" s="2">
        <f>IF(OR(D91="",E91=""),"",E91-D91)</f>
      </c>
      <c r="L91" s="2">
        <f>IF(H91="","",RANK(H91,$H$2:$H$118,0))</f>
      </c>
    </row>
    <row r="92" spans="1:12" x14ac:dyDescent="0.25">
      <c r="A92" t="s">
        <v>392</v>
      </c>
      <c r="B92" t="s">
        <v>393</v>
      </c>
      <c r="C92" t="s">
        <v>202</v>
      </c>
      <c r="D92">
        <f>IF('Quarterly Results'!F92="","",'Quarterly Results'!F92)</f>
      </c>
      <c r="E92">
        <f>IF('Quarterly Results'!N92="","",'Quarterly Results'!N92)</f>
      </c>
      <c r="F92">
        <f>IF('Quarterly Results'!X92="","",'Quarterly Results'!X92)</f>
      </c>
      <c r="G92">
        <f>IF('Quarterly Results'!AH92="","",'Quarterly Results'!AH92)</f>
      </c>
      <c r="H92">
        <f>IFERROR(AVERAGEIF(D92:G92,"&gt;=0"),"")</f>
      </c>
      <c r="I92">
        <f>IF(H92="","",IFERROR(INDEX({"Q1","Q2","Q3","Q4"},MATCH(MAX(D92:G92),D92:G92,0)),""))</f>
      </c>
      <c r="J92">
        <f>IF(H92="","",IFERROR(INDEX({"Q1","Q2","Q3","Q4"},MATCH(AGGREGATE(5,6,D92:G92),D92:G92,0)),""))</f>
      </c>
      <c r="K92">
        <f>IF(OR(D92="",E92=""),"",E92-D92)</f>
      </c>
      <c r="L92">
        <f>IF(H92="","",RANK(H92,$H$2:$H$118,0))</f>
      </c>
    </row>
    <row r="93" spans="1:12" x14ac:dyDescent="0.25">
      <c r="A93" s="2" t="s">
        <v>394</v>
      </c>
      <c r="B93" s="2" t="s">
        <v>394</v>
      </c>
      <c r="C93" s="2" t="s">
        <v>222</v>
      </c>
      <c r="D93" s="2">
        <f>IF('Quarterly Results'!F93="","",'Quarterly Results'!F93)</f>
      </c>
      <c r="E93" s="2">
        <f>IF('Quarterly Results'!N93="","",'Quarterly Results'!N93)</f>
      </c>
      <c r="F93" s="2">
        <f>IF('Quarterly Results'!X93="","",'Quarterly Results'!X93)</f>
      </c>
      <c r="G93" s="2">
        <f>IF('Quarterly Results'!AH93="","",'Quarterly Results'!AH93)</f>
      </c>
      <c r="H93" s="2">
        <f>IFERROR(AVERAGEIF(D93:G93,"&gt;=0"),"")</f>
      </c>
      <c r="I93" s="2">
        <f>IF(H93="","",IFERROR(INDEX({"Q1","Q2","Q3","Q4"},MATCH(MAX(D93:G93),D93:G93,0)),""))</f>
      </c>
      <c r="J93" s="2">
        <f>IF(H93="","",IFERROR(INDEX({"Q1","Q2","Q3","Q4"},MATCH(AGGREGATE(5,6,D93:G93),D93:G93,0)),""))</f>
      </c>
      <c r="K93" s="2">
        <f>IF(OR(D93="",E93=""),"",E93-D93)</f>
      </c>
      <c r="L93" s="2">
        <f>IF(H93="","",RANK(H93,$H$2:$H$118,0))</f>
      </c>
    </row>
    <row r="94" spans="1:12" x14ac:dyDescent="0.25">
      <c r="A94" t="s">
        <v>396</v>
      </c>
      <c r="B94" t="s">
        <v>396</v>
      </c>
      <c r="C94" t="s">
        <v>173</v>
      </c>
      <c r="D94">
        <f>IF('Quarterly Results'!F94="","",'Quarterly Results'!F94)</f>
      </c>
      <c r="E94">
        <f>IF('Quarterly Results'!N94="","",'Quarterly Results'!N94)</f>
      </c>
      <c r="F94">
        <f>IF('Quarterly Results'!X94="","",'Quarterly Results'!X94)</f>
      </c>
      <c r="G94">
        <f>IF('Quarterly Results'!AH94="","",'Quarterly Results'!AH94)</f>
      </c>
      <c r="H94">
        <f>IFERROR(AVERAGEIF(D94:G94,"&gt;=0"),"")</f>
      </c>
      <c r="I94">
        <f>IF(H94="","",IFERROR(INDEX({"Q1","Q2","Q3","Q4"},MATCH(MAX(D94:G94),D94:G94,0)),""))</f>
      </c>
      <c r="J94">
        <f>IF(H94="","",IFERROR(INDEX({"Q1","Q2","Q3","Q4"},MATCH(AGGREGATE(5,6,D94:G94),D94:G94,0)),""))</f>
      </c>
      <c r="K94">
        <f>IF(OR(D94="",E94=""),"",E94-D94)</f>
      </c>
      <c r="L94">
        <f>IF(H94="","",RANK(H94,$H$2:$H$118,0))</f>
      </c>
    </row>
    <row r="95" spans="1:12" x14ac:dyDescent="0.25">
      <c r="A95" s="2" t="s">
        <v>397</v>
      </c>
      <c r="B95" s="2" t="s">
        <v>398</v>
      </c>
      <c r="C95" s="2" t="s">
        <v>202</v>
      </c>
      <c r="D95" s="2">
        <f>IF('Quarterly Results'!F95="","",'Quarterly Results'!F95)</f>
      </c>
      <c r="E95" s="2">
        <f>IF('Quarterly Results'!N95="","",'Quarterly Results'!N95)</f>
      </c>
      <c r="F95" s="2">
        <f>IF('Quarterly Results'!X95="","",'Quarterly Results'!X95)</f>
      </c>
      <c r="G95" s="2">
        <f>IF('Quarterly Results'!AH95="","",'Quarterly Results'!AH95)</f>
      </c>
      <c r="H95" s="2">
        <f>IFERROR(AVERAGEIF(D95:G95,"&gt;=0"),"")</f>
      </c>
      <c r="I95" s="2">
        <f>IF(H95="","",IFERROR(INDEX({"Q1","Q2","Q3","Q4"},MATCH(MAX(D95:G95),D95:G95,0)),""))</f>
      </c>
      <c r="J95" s="2">
        <f>IF(H95="","",IFERROR(INDEX({"Q1","Q2","Q3","Q4"},MATCH(AGGREGATE(5,6,D95:G95),D95:G95,0)),""))</f>
      </c>
      <c r="K95" s="2">
        <f>IF(OR(D95="",E95=""),"",E95-D95)</f>
      </c>
      <c r="L95" s="2">
        <f>IF(H95="","",RANK(H95,$H$2:$H$118,0))</f>
      </c>
    </row>
    <row r="96" spans="1:12" x14ac:dyDescent="0.25">
      <c r="A96" t="s">
        <v>399</v>
      </c>
      <c r="B96" t="s">
        <v>400</v>
      </c>
      <c r="C96" t="s">
        <v>222</v>
      </c>
      <c r="D96">
        <f>IF('Quarterly Results'!F96="","",'Quarterly Results'!F96)</f>
      </c>
      <c r="E96">
        <f>IF('Quarterly Results'!N96="","",'Quarterly Results'!N96)</f>
      </c>
      <c r="F96">
        <f>IF('Quarterly Results'!X96="","",'Quarterly Results'!X96)</f>
      </c>
      <c r="G96">
        <f>IF('Quarterly Results'!AH96="","",'Quarterly Results'!AH96)</f>
      </c>
      <c r="H96">
        <f>IFERROR(AVERAGEIF(D96:G96,"&gt;=0"),"")</f>
      </c>
      <c r="I96">
        <f>IF(H96="","",IFERROR(INDEX({"Q1","Q2","Q3","Q4"},MATCH(MAX(D96:G96),D96:G96,0)),""))</f>
      </c>
      <c r="J96">
        <f>IF(H96="","",IFERROR(INDEX({"Q1","Q2","Q3","Q4"},MATCH(AGGREGATE(5,6,D96:G96),D96:G96,0)),""))</f>
      </c>
      <c r="K96">
        <f>IF(OR(D96="",E96=""),"",E96-D96)</f>
      </c>
      <c r="L96">
        <f>IF(H96="","",RANK(H96,$H$2:$H$118,0))</f>
      </c>
    </row>
    <row r="97" spans="1:12" x14ac:dyDescent="0.25">
      <c r="A97" s="2" t="s">
        <v>402</v>
      </c>
      <c r="B97" s="2" t="s">
        <v>403</v>
      </c>
      <c r="C97" s="2" t="s">
        <v>173</v>
      </c>
      <c r="D97" s="2">
        <f>IF('Quarterly Results'!F97="","",'Quarterly Results'!F97)</f>
      </c>
      <c r="E97" s="2">
        <f>IF('Quarterly Results'!N97="","",'Quarterly Results'!N97)</f>
      </c>
      <c r="F97" s="2">
        <f>IF('Quarterly Results'!X97="","",'Quarterly Results'!X97)</f>
      </c>
      <c r="G97" s="2">
        <f>IF('Quarterly Results'!AH97="","",'Quarterly Results'!AH97)</f>
      </c>
      <c r="H97" s="2">
        <f>IFERROR(AVERAGEIF(D97:G97,"&gt;=0"),"")</f>
      </c>
      <c r="I97" s="2">
        <f>IF(H97="","",IFERROR(INDEX({"Q1","Q2","Q3","Q4"},MATCH(MAX(D97:G97),D97:G97,0)),""))</f>
      </c>
      <c r="J97" s="2">
        <f>IF(H97="","",IFERROR(INDEX({"Q1","Q2","Q3","Q4"},MATCH(AGGREGATE(5,6,D97:G97),D97:G97,0)),""))</f>
      </c>
      <c r="K97" s="2">
        <f>IF(OR(D97="",E97=""),"",E97-D97)</f>
      </c>
      <c r="L97" s="2">
        <f>IF(H97="","",RANK(H97,$H$2:$H$118,0))</f>
      </c>
    </row>
    <row r="98" spans="1:12" x14ac:dyDescent="0.25">
      <c r="A98" t="s">
        <v>404</v>
      </c>
      <c r="B98" t="s">
        <v>405</v>
      </c>
      <c r="C98" t="s">
        <v>202</v>
      </c>
      <c r="D98">
        <f>IF('Quarterly Results'!F98="","",'Quarterly Results'!F98)</f>
      </c>
      <c r="E98">
        <f>IF('Quarterly Results'!N98="","",'Quarterly Results'!N98)</f>
      </c>
      <c r="F98">
        <f>IF('Quarterly Results'!X98="","",'Quarterly Results'!X98)</f>
      </c>
      <c r="G98">
        <f>IF('Quarterly Results'!AH98="","",'Quarterly Results'!AH98)</f>
      </c>
      <c r="H98">
        <f>IFERROR(AVERAGEIF(D98:G98,"&gt;=0"),"")</f>
      </c>
      <c r="I98">
        <f>IF(H98="","",IFERROR(INDEX({"Q1","Q2","Q3","Q4"},MATCH(MAX(D98:G98),D98:G98,0)),""))</f>
      </c>
      <c r="J98">
        <f>IF(H98="","",IFERROR(INDEX({"Q1","Q2","Q3","Q4"},MATCH(AGGREGATE(5,6,D98:G98),D98:G98,0)),""))</f>
      </c>
      <c r="K98">
        <f>IF(OR(D98="",E98=""),"",E98-D98)</f>
      </c>
      <c r="L98">
        <f>IF(H98="","",RANK(H98,$H$2:$H$118,0))</f>
      </c>
    </row>
    <row r="99" spans="1:12" x14ac:dyDescent="0.25">
      <c r="A99" s="2" t="s">
        <v>406</v>
      </c>
      <c r="B99" s="2" t="s">
        <v>406</v>
      </c>
      <c r="C99" s="2" t="s">
        <v>202</v>
      </c>
      <c r="D99" s="2">
        <f>IF('Quarterly Results'!F99="","",'Quarterly Results'!F99)</f>
      </c>
      <c r="E99" s="2">
        <f>IF('Quarterly Results'!N99="","",'Quarterly Results'!N99)</f>
      </c>
      <c r="F99" s="2">
        <f>IF('Quarterly Results'!X99="","",'Quarterly Results'!X99)</f>
      </c>
      <c r="G99" s="2">
        <f>IF('Quarterly Results'!AH99="","",'Quarterly Results'!AH99)</f>
      </c>
      <c r="H99" s="2">
        <f>IFERROR(AVERAGEIF(D99:G99,"&gt;=0"),"")</f>
      </c>
      <c r="I99" s="2">
        <f>IF(H99="","",IFERROR(INDEX({"Q1","Q2","Q3","Q4"},MATCH(MAX(D99:G99),D99:G99,0)),""))</f>
      </c>
      <c r="J99" s="2">
        <f>IF(H99="","",IFERROR(INDEX({"Q1","Q2","Q3","Q4"},MATCH(AGGREGATE(5,6,D99:G99),D99:G99,0)),""))</f>
      </c>
      <c r="K99" s="2">
        <f>IF(OR(D99="",E99=""),"",E99-D99)</f>
      </c>
      <c r="L99" s="2">
        <f>IF(H99="","",RANK(H99,$H$2:$H$118,0))</f>
      </c>
    </row>
    <row r="100" spans="1:12" x14ac:dyDescent="0.25">
      <c r="A100" t="s">
        <v>407</v>
      </c>
      <c r="B100" t="s">
        <v>407</v>
      </c>
      <c r="C100" t="s">
        <v>222</v>
      </c>
      <c r="D100">
        <f>IF('Quarterly Results'!F100="","",'Quarterly Results'!F100)</f>
      </c>
      <c r="E100">
        <f>IF('Quarterly Results'!N100="","",'Quarterly Results'!N100)</f>
      </c>
      <c r="F100">
        <f>IF('Quarterly Results'!X100="","",'Quarterly Results'!X100)</f>
      </c>
      <c r="G100">
        <f>IF('Quarterly Results'!AH100="","",'Quarterly Results'!AH100)</f>
      </c>
      <c r="H100">
        <f>IFERROR(AVERAGEIF(D100:G100,"&gt;=0"),"")</f>
      </c>
      <c r="I100">
        <f>IF(H100="","",IFERROR(INDEX({"Q1","Q2","Q3","Q4"},MATCH(MAX(D100:G100),D100:G100,0)),""))</f>
      </c>
      <c r="J100">
        <f>IF(H100="","",IFERROR(INDEX({"Q1","Q2","Q3","Q4"},MATCH(AGGREGATE(5,6,D100:G100),D100:G100,0)),""))</f>
      </c>
      <c r="K100">
        <f>IF(OR(D100="",E100=""),"",E100-D100)</f>
      </c>
      <c r="L100">
        <f>IF(H100="","",RANK(H100,$H$2:$H$118,0))</f>
      </c>
    </row>
    <row r="101" spans="1:12" x14ac:dyDescent="0.25">
      <c r="A101" s="2" t="s">
        <v>408</v>
      </c>
      <c r="B101" s="2" t="s">
        <v>409</v>
      </c>
      <c r="C101" s="2" t="s">
        <v>173</v>
      </c>
      <c r="D101" s="2">
        <f>IF('Quarterly Results'!F101="","",'Quarterly Results'!F101)</f>
      </c>
      <c r="E101" s="2">
        <f>IF('Quarterly Results'!N101="","",'Quarterly Results'!N101)</f>
      </c>
      <c r="F101" s="2">
        <f>IF('Quarterly Results'!X101="","",'Quarterly Results'!X101)</f>
      </c>
      <c r="G101" s="2">
        <f>IF('Quarterly Results'!AH101="","",'Quarterly Results'!AH101)</f>
      </c>
      <c r="H101" s="2">
        <f>IFERROR(AVERAGEIF(D101:G101,"&gt;=0"),"")</f>
      </c>
      <c r="I101" s="2">
        <f>IF(H101="","",IFERROR(INDEX({"Q1","Q2","Q3","Q4"},MATCH(MAX(D101:G101),D101:G101,0)),""))</f>
      </c>
      <c r="J101" s="2">
        <f>IF(H101="","",IFERROR(INDEX({"Q1","Q2","Q3","Q4"},MATCH(AGGREGATE(5,6,D101:G101),D101:G101,0)),""))</f>
      </c>
      <c r="K101" s="2">
        <f>IF(OR(D101="",E101=""),"",E101-D101)</f>
      </c>
      <c r="L101" s="2">
        <f>IF(H101="","",RANK(H101,$H$2:$H$118,0))</f>
      </c>
    </row>
    <row r="102" spans="1:12" x14ac:dyDescent="0.25">
      <c r="A102" t="s">
        <v>410</v>
      </c>
      <c r="B102" t="s">
        <v>411</v>
      </c>
      <c r="C102" t="s">
        <v>202</v>
      </c>
      <c r="D102">
        <f>IF('Quarterly Results'!F102="","",'Quarterly Results'!F102)</f>
      </c>
      <c r="E102">
        <f>IF('Quarterly Results'!N102="","",'Quarterly Results'!N102)</f>
      </c>
      <c r="F102">
        <f>IF('Quarterly Results'!X102="","",'Quarterly Results'!X102)</f>
      </c>
      <c r="G102">
        <f>IF('Quarterly Results'!AH102="","",'Quarterly Results'!AH102)</f>
      </c>
      <c r="H102">
        <f>IFERROR(AVERAGEIF(D102:G102,"&gt;=0"),"")</f>
      </c>
      <c r="I102">
        <f>IF(H102="","",IFERROR(INDEX({"Q1","Q2","Q3","Q4"},MATCH(MAX(D102:G102),D102:G102,0)),""))</f>
      </c>
      <c r="J102">
        <f>IF(H102="","",IFERROR(INDEX({"Q1","Q2","Q3","Q4"},MATCH(AGGREGATE(5,6,D102:G102),D102:G102,0)),""))</f>
      </c>
      <c r="K102">
        <f>IF(OR(D102="",E102=""),"",E102-D102)</f>
      </c>
      <c r="L102">
        <f>IF(H102="","",RANK(H102,$H$2:$H$118,0))</f>
      </c>
    </row>
    <row r="103" spans="1:12" x14ac:dyDescent="0.25">
      <c r="A103" s="2" t="s">
        <v>412</v>
      </c>
      <c r="B103" s="2" t="s">
        <v>413</v>
      </c>
      <c r="C103" s="2" t="s">
        <v>202</v>
      </c>
      <c r="D103" s="2">
        <f>IF('Quarterly Results'!F103="","",'Quarterly Results'!F103)</f>
      </c>
      <c r="E103" s="2">
        <f>IF('Quarterly Results'!N103="","",'Quarterly Results'!N103)</f>
      </c>
      <c r="F103" s="2">
        <f>IF('Quarterly Results'!X103="","",'Quarterly Results'!X103)</f>
      </c>
      <c r="G103" s="2">
        <f>IF('Quarterly Results'!AH103="","",'Quarterly Results'!AH103)</f>
      </c>
      <c r="H103" s="2">
        <f>IFERROR(AVERAGEIF(D103:G103,"&gt;=0"),"")</f>
      </c>
      <c r="I103" s="2">
        <f>IF(H103="","",IFERROR(INDEX({"Q1","Q2","Q3","Q4"},MATCH(MAX(D103:G103),D103:G103,0)),""))</f>
      </c>
      <c r="J103" s="2">
        <f>IF(H103="","",IFERROR(INDEX({"Q1","Q2","Q3","Q4"},MATCH(AGGREGATE(5,6,D103:G103),D103:G103,0)),""))</f>
      </c>
      <c r="K103" s="2">
        <f>IF(OR(D103="",E103=""),"",E103-D103)</f>
      </c>
      <c r="L103" s="2">
        <f>IF(H103="","",RANK(H103,$H$2:$H$118,0))</f>
      </c>
    </row>
    <row r="104" spans="1:12" x14ac:dyDescent="0.25">
      <c r="A104" t="s">
        <v>414</v>
      </c>
      <c r="B104" t="s">
        <v>414</v>
      </c>
      <c r="C104" t="s">
        <v>202</v>
      </c>
      <c r="D104">
        <f>IF('Quarterly Results'!F104="","",'Quarterly Results'!F104)</f>
      </c>
      <c r="E104">
        <f>IF('Quarterly Results'!N104="","",'Quarterly Results'!N104)</f>
      </c>
      <c r="F104">
        <f>IF('Quarterly Results'!X104="","",'Quarterly Results'!X104)</f>
      </c>
      <c r="G104">
        <f>IF('Quarterly Results'!AH104="","",'Quarterly Results'!AH104)</f>
      </c>
      <c r="H104">
        <f>IFERROR(AVERAGEIF(D104:G104,"&gt;=0"),"")</f>
      </c>
      <c r="I104">
        <f>IF(H104="","",IFERROR(INDEX({"Q1","Q2","Q3","Q4"},MATCH(MAX(D104:G104),D104:G104,0)),""))</f>
      </c>
      <c r="J104">
        <f>IF(H104="","",IFERROR(INDEX({"Q1","Q2","Q3","Q4"},MATCH(AGGREGATE(5,6,D104:G104),D104:G104,0)),""))</f>
      </c>
      <c r="K104">
        <f>IF(OR(D104="",E104=""),"",E104-D104)</f>
      </c>
      <c r="L104">
        <f>IF(H104="","",RANK(H104,$H$2:$H$118,0))</f>
      </c>
    </row>
    <row r="105" spans="1:12" x14ac:dyDescent="0.25">
      <c r="A105" s="2" t="s">
        <v>415</v>
      </c>
      <c r="B105" s="2" t="s">
        <v>416</v>
      </c>
      <c r="C105" s="2" t="s">
        <v>202</v>
      </c>
      <c r="D105" s="2">
        <f>IF('Quarterly Results'!F105="","",'Quarterly Results'!F105)</f>
      </c>
      <c r="E105" s="2">
        <f>IF('Quarterly Results'!N105="","",'Quarterly Results'!N105)</f>
      </c>
      <c r="F105" s="2">
        <f>IF('Quarterly Results'!X105="","",'Quarterly Results'!X105)</f>
      </c>
      <c r="G105" s="2">
        <f>IF('Quarterly Results'!AH105="","",'Quarterly Results'!AH105)</f>
      </c>
      <c r="H105" s="2">
        <f>IFERROR(AVERAGEIF(D105:G105,"&gt;=0"),"")</f>
      </c>
      <c r="I105" s="2">
        <f>IF(H105="","",IFERROR(INDEX({"Q1","Q2","Q3","Q4"},MATCH(MAX(D105:G105),D105:G105,0)),""))</f>
      </c>
      <c r="J105" s="2">
        <f>IF(H105="","",IFERROR(INDEX({"Q1","Q2","Q3","Q4"},MATCH(AGGREGATE(5,6,D105:G105),D105:G105,0)),""))</f>
      </c>
      <c r="K105" s="2">
        <f>IF(OR(D105="",E105=""),"",E105-D105)</f>
      </c>
      <c r="L105" s="2">
        <f>IF(H105="","",RANK(H105,$H$2:$H$118,0))</f>
      </c>
    </row>
    <row r="106" spans="1:12" x14ac:dyDescent="0.25">
      <c r="A106" t="s">
        <v>417</v>
      </c>
      <c r="B106" t="s">
        <v>417</v>
      </c>
      <c r="C106" t="s">
        <v>173</v>
      </c>
      <c r="D106">
        <f>IF('Quarterly Results'!F106="","",'Quarterly Results'!F106)</f>
      </c>
      <c r="E106">
        <f>IF('Quarterly Results'!N106="","",'Quarterly Results'!N106)</f>
      </c>
      <c r="F106">
        <f>IF('Quarterly Results'!X106="","",'Quarterly Results'!X106)</f>
      </c>
      <c r="G106">
        <f>IF('Quarterly Results'!AH106="","",'Quarterly Results'!AH106)</f>
      </c>
      <c r="H106">
        <f>IFERROR(AVERAGEIF(D106:G106,"&gt;=0"),"")</f>
      </c>
      <c r="I106">
        <f>IF(H106="","",IFERROR(INDEX({"Q1","Q2","Q3","Q4"},MATCH(MAX(D106:G106),D106:G106,0)),""))</f>
      </c>
      <c r="J106">
        <f>IF(H106="","",IFERROR(INDEX({"Q1","Q2","Q3","Q4"},MATCH(AGGREGATE(5,6,D106:G106),D106:G106,0)),""))</f>
      </c>
      <c r="K106">
        <f>IF(OR(D106="",E106=""),"",E106-D106)</f>
      </c>
      <c r="L106">
        <f>IF(H106="","",RANK(H106,$H$2:$H$118,0))</f>
      </c>
    </row>
    <row r="107" spans="1:12" x14ac:dyDescent="0.25">
      <c r="A107" s="2" t="s">
        <v>418</v>
      </c>
      <c r="B107" s="2" t="s">
        <v>418</v>
      </c>
      <c r="C107" s="2" t="s">
        <v>173</v>
      </c>
      <c r="D107" s="2">
        <f>IF('Quarterly Results'!F107="","",'Quarterly Results'!F107)</f>
      </c>
      <c r="E107" s="2">
        <f>IF('Quarterly Results'!N107="","",'Quarterly Results'!N107)</f>
      </c>
      <c r="F107" s="2">
        <f>IF('Quarterly Results'!X107="","",'Quarterly Results'!X107)</f>
      </c>
      <c r="G107" s="2">
        <f>IF('Quarterly Results'!AH107="","",'Quarterly Results'!AH107)</f>
      </c>
      <c r="H107" s="2">
        <f>IFERROR(AVERAGEIF(D107:G107,"&gt;=0"),"")</f>
      </c>
      <c r="I107" s="2">
        <f>IF(H107="","",IFERROR(INDEX({"Q1","Q2","Q3","Q4"},MATCH(MAX(D107:G107),D107:G107,0)),""))</f>
      </c>
      <c r="J107" s="2">
        <f>IF(H107="","",IFERROR(INDEX({"Q1","Q2","Q3","Q4"},MATCH(AGGREGATE(5,6,D107:G107),D107:G107,0)),""))</f>
      </c>
      <c r="K107" s="2">
        <f>IF(OR(D107="",E107=""),"",E107-D107)</f>
      </c>
      <c r="L107" s="2">
        <f>IF(H107="","",RANK(H107,$H$2:$H$118,0))</f>
      </c>
    </row>
    <row r="108" spans="1:12" x14ac:dyDescent="0.25">
      <c r="A108" t="s">
        <v>419</v>
      </c>
      <c r="B108" t="s">
        <v>420</v>
      </c>
      <c r="C108" t="s">
        <v>202</v>
      </c>
      <c r="D108">
        <f>IF('Quarterly Results'!F108="","",'Quarterly Results'!F108)</f>
      </c>
      <c r="E108">
        <f>IF('Quarterly Results'!N108="","",'Quarterly Results'!N108)</f>
      </c>
      <c r="F108">
        <f>IF('Quarterly Results'!X108="","",'Quarterly Results'!X108)</f>
      </c>
      <c r="G108">
        <f>IF('Quarterly Results'!AH108="","",'Quarterly Results'!AH108)</f>
      </c>
      <c r="H108">
        <f>IFERROR(AVERAGEIF(D108:G108,"&gt;=0"),"")</f>
      </c>
      <c r="I108">
        <f>IF(H108="","",IFERROR(INDEX({"Q1","Q2","Q3","Q4"},MATCH(MAX(D108:G108),D108:G108,0)),""))</f>
      </c>
      <c r="J108">
        <f>IF(H108="","",IFERROR(INDEX({"Q1","Q2","Q3","Q4"},MATCH(AGGREGATE(5,6,D108:G108),D108:G108,0)),""))</f>
      </c>
      <c r="K108">
        <f>IF(OR(D108="",E108=""),"",E108-D108)</f>
      </c>
      <c r="L108">
        <f>IF(H108="","",RANK(H108,$H$2:$H$118,0))</f>
      </c>
    </row>
    <row r="109" spans="1:12" x14ac:dyDescent="0.25">
      <c r="A109" s="2" t="s">
        <v>421</v>
      </c>
      <c r="B109" s="2" t="s">
        <v>421</v>
      </c>
      <c r="C109" s="2" t="s">
        <v>202</v>
      </c>
      <c r="D109" s="2">
        <f>IF('Quarterly Results'!F109="","",'Quarterly Results'!F109)</f>
      </c>
      <c r="E109" s="2">
        <f>IF('Quarterly Results'!N109="","",'Quarterly Results'!N109)</f>
      </c>
      <c r="F109" s="2">
        <f>IF('Quarterly Results'!X109="","",'Quarterly Results'!X109)</f>
      </c>
      <c r="G109" s="2">
        <f>IF('Quarterly Results'!AH109="","",'Quarterly Results'!AH109)</f>
      </c>
      <c r="H109" s="2">
        <f>IFERROR(AVERAGEIF(D109:G109,"&gt;=0"),"")</f>
      </c>
      <c r="I109" s="2">
        <f>IF(H109="","",IFERROR(INDEX({"Q1","Q2","Q3","Q4"},MATCH(MAX(D109:G109),D109:G109,0)),""))</f>
      </c>
      <c r="J109" s="2">
        <f>IF(H109="","",IFERROR(INDEX({"Q1","Q2","Q3","Q4"},MATCH(AGGREGATE(5,6,D109:G109),D109:G109,0)),""))</f>
      </c>
      <c r="K109" s="2">
        <f>IF(OR(D109="",E109=""),"",E109-D109)</f>
      </c>
      <c r="L109" s="2">
        <f>IF(H109="","",RANK(H109,$H$2:$H$118,0))</f>
      </c>
    </row>
    <row r="110" spans="1:12" x14ac:dyDescent="0.25">
      <c r="A110" t="s">
        <v>422</v>
      </c>
      <c r="B110" t="s">
        <v>422</v>
      </c>
      <c r="C110" t="s">
        <v>202</v>
      </c>
      <c r="D110">
        <f>IF('Quarterly Results'!F110="","",'Quarterly Results'!F110)</f>
      </c>
      <c r="E110">
        <f>IF('Quarterly Results'!N110="","",'Quarterly Results'!N110)</f>
      </c>
      <c r="F110">
        <f>IF('Quarterly Results'!X110="","",'Quarterly Results'!X110)</f>
      </c>
      <c r="G110">
        <f>IF('Quarterly Results'!AH110="","",'Quarterly Results'!AH110)</f>
      </c>
      <c r="H110">
        <f>IFERROR(AVERAGEIF(D110:G110,"&gt;=0"),"")</f>
      </c>
      <c r="I110">
        <f>IF(H110="","",IFERROR(INDEX({"Q1","Q2","Q3","Q4"},MATCH(MAX(D110:G110),D110:G110,0)),""))</f>
      </c>
      <c r="J110">
        <f>IF(H110="","",IFERROR(INDEX({"Q1","Q2","Q3","Q4"},MATCH(AGGREGATE(5,6,D110:G110),D110:G110,0)),""))</f>
      </c>
      <c r="K110">
        <f>IF(OR(D110="",E110=""),"",E110-D110)</f>
      </c>
      <c r="L110">
        <f>IF(H110="","",RANK(H110,$H$2:$H$118,0))</f>
      </c>
    </row>
    <row r="111" spans="1:12" x14ac:dyDescent="0.25">
      <c r="A111" s="2" t="s">
        <v>423</v>
      </c>
      <c r="B111" s="2" t="s">
        <v>424</v>
      </c>
      <c r="C111" s="2" t="s">
        <v>173</v>
      </c>
      <c r="D111" s="2">
        <f>IF('Quarterly Results'!F111="","",'Quarterly Results'!F111)</f>
      </c>
      <c r="E111" s="2">
        <f>IF('Quarterly Results'!N111="","",'Quarterly Results'!N111)</f>
      </c>
      <c r="F111" s="2">
        <f>IF('Quarterly Results'!X111="","",'Quarterly Results'!X111)</f>
      </c>
      <c r="G111" s="2">
        <f>IF('Quarterly Results'!AH111="","",'Quarterly Results'!AH111)</f>
      </c>
      <c r="H111" s="2">
        <f>IFERROR(AVERAGEIF(D111:G111,"&gt;=0"),"")</f>
      </c>
      <c r="I111" s="2">
        <f>IF(H111="","",IFERROR(INDEX({"Q1","Q2","Q3","Q4"},MATCH(MAX(D111:G111),D111:G111,0)),""))</f>
      </c>
      <c r="J111" s="2">
        <f>IF(H111="","",IFERROR(INDEX({"Q1","Q2","Q3","Q4"},MATCH(AGGREGATE(5,6,D111:G111),D111:G111,0)),""))</f>
      </c>
      <c r="K111" s="2">
        <f>IF(OR(D111="",E111=""),"",E111-D111)</f>
      </c>
      <c r="L111" s="2">
        <f>IF(H111="","",RANK(H111,$H$2:$H$118,0))</f>
      </c>
    </row>
    <row r="112" spans="1:12" x14ac:dyDescent="0.25">
      <c r="A112" t="s">
        <v>425</v>
      </c>
      <c r="B112" t="s">
        <v>426</v>
      </c>
      <c r="C112" t="s">
        <v>173</v>
      </c>
      <c r="D112">
        <f>IF('Quarterly Results'!F112="","",'Quarterly Results'!F112)</f>
      </c>
      <c r="E112">
        <f>IF('Quarterly Results'!N112="","",'Quarterly Results'!N112)</f>
      </c>
      <c r="F112">
        <f>IF('Quarterly Results'!X112="","",'Quarterly Results'!X112)</f>
      </c>
      <c r="G112">
        <f>IF('Quarterly Results'!AH112="","",'Quarterly Results'!AH112)</f>
      </c>
      <c r="H112">
        <f>IFERROR(AVERAGEIF(D112:G112,"&gt;=0"),"")</f>
      </c>
      <c r="I112">
        <f>IF(H112="","",IFERROR(INDEX({"Q1","Q2","Q3","Q4"},MATCH(MAX(D112:G112),D112:G112,0)),""))</f>
      </c>
      <c r="J112">
        <f>IF(H112="","",IFERROR(INDEX({"Q1","Q2","Q3","Q4"},MATCH(AGGREGATE(5,6,D112:G112),D112:G112,0)),""))</f>
      </c>
      <c r="K112">
        <f>IF(OR(D112="",E112=""),"",E112-D112)</f>
      </c>
      <c r="L112">
        <f>IF(H112="","",RANK(H112,$H$2:$H$118,0))</f>
      </c>
    </row>
    <row r="113" spans="1:12" x14ac:dyDescent="0.25">
      <c r="A113" s="2" t="s">
        <v>427</v>
      </c>
      <c r="B113" s="2" t="s">
        <v>428</v>
      </c>
      <c r="C113" s="2" t="s">
        <v>173</v>
      </c>
      <c r="D113" s="2">
        <f>IF('Quarterly Results'!F113="","",'Quarterly Results'!F113)</f>
      </c>
      <c r="E113" s="2">
        <f>IF('Quarterly Results'!N113="","",'Quarterly Results'!N113)</f>
      </c>
      <c r="F113" s="2">
        <f>IF('Quarterly Results'!X113="","",'Quarterly Results'!X113)</f>
      </c>
      <c r="G113" s="2">
        <f>IF('Quarterly Results'!AH113="","",'Quarterly Results'!AH113)</f>
      </c>
      <c r="H113" s="2">
        <f>IFERROR(AVERAGEIF(D113:G113,"&gt;=0"),"")</f>
      </c>
      <c r="I113" s="2">
        <f>IF(H113="","",IFERROR(INDEX({"Q1","Q2","Q3","Q4"},MATCH(MAX(D113:G113),D113:G113,0)),""))</f>
      </c>
      <c r="J113" s="2">
        <f>IF(H113="","",IFERROR(INDEX({"Q1","Q2","Q3","Q4"},MATCH(AGGREGATE(5,6,D113:G113),D113:G113,0)),""))</f>
      </c>
      <c r="K113" s="2">
        <f>IF(OR(D113="",E113=""),"",E113-D113)</f>
      </c>
      <c r="L113" s="2">
        <f>IF(H113="","",RANK(H113,$H$2:$H$118,0))</f>
      </c>
    </row>
    <row r="114" spans="1:12" x14ac:dyDescent="0.25">
      <c r="A114" t="s">
        <v>429</v>
      </c>
      <c r="B114" t="s">
        <v>429</v>
      </c>
      <c r="C114" t="s">
        <v>202</v>
      </c>
      <c r="D114">
        <f>IF('Quarterly Results'!F114="","",'Quarterly Results'!F114)</f>
      </c>
      <c r="E114">
        <f>IF('Quarterly Results'!N114="","",'Quarterly Results'!N114)</f>
      </c>
      <c r="F114">
        <f>IF('Quarterly Results'!X114="","",'Quarterly Results'!X114)</f>
      </c>
      <c r="G114">
        <f>IF('Quarterly Results'!AH114="","",'Quarterly Results'!AH114)</f>
      </c>
      <c r="H114">
        <f>IFERROR(AVERAGEIF(D114:G114,"&gt;=0"),"")</f>
      </c>
      <c r="I114">
        <f>IF(H114="","",IFERROR(INDEX({"Q1","Q2","Q3","Q4"},MATCH(MAX(D114:G114),D114:G114,0)),""))</f>
      </c>
      <c r="J114">
        <f>IF(H114="","",IFERROR(INDEX({"Q1","Q2","Q3","Q4"},MATCH(AGGREGATE(5,6,D114:G114),D114:G114,0)),""))</f>
      </c>
      <c r="K114">
        <f>IF(OR(D114="",E114=""),"",E114-D114)</f>
      </c>
      <c r="L114">
        <f>IF(H114="","",RANK(H114,$H$2:$H$118,0))</f>
      </c>
    </row>
    <row r="115" spans="1:12" x14ac:dyDescent="0.25">
      <c r="A115" s="2" t="s">
        <v>430</v>
      </c>
      <c r="B115" s="2" t="s">
        <v>430</v>
      </c>
      <c r="C115" s="2" t="s">
        <v>202</v>
      </c>
      <c r="D115" s="2">
        <f>IF('Quarterly Results'!F115="","",'Quarterly Results'!F115)</f>
      </c>
      <c r="E115" s="2">
        <f>IF('Quarterly Results'!N115="","",'Quarterly Results'!N115)</f>
      </c>
      <c r="F115" s="2">
        <f>IF('Quarterly Results'!X115="","",'Quarterly Results'!X115)</f>
      </c>
      <c r="G115" s="2">
        <f>IF('Quarterly Results'!AH115="","",'Quarterly Results'!AH115)</f>
      </c>
      <c r="H115" s="2">
        <f>IFERROR(AVERAGEIF(D115:G115,"&gt;=0"),"")</f>
      </c>
      <c r="I115" s="2">
        <f>IF(H115="","",IFERROR(INDEX({"Q1","Q2","Q3","Q4"},MATCH(MAX(D115:G115),D115:G115,0)),""))</f>
      </c>
      <c r="J115" s="2">
        <f>IF(H115="","",IFERROR(INDEX({"Q1","Q2","Q3","Q4"},MATCH(AGGREGATE(5,6,D115:G115),D115:G115,0)),""))</f>
      </c>
      <c r="K115" s="2">
        <f>IF(OR(D115="",E115=""),"",E115-D115)</f>
      </c>
      <c r="L115" s="2">
        <f>IF(H115="","",RANK(H115,$H$2:$H$118,0))</f>
      </c>
    </row>
    <row r="116" spans="1:12" x14ac:dyDescent="0.25">
      <c r="A116" t="s">
        <v>431</v>
      </c>
      <c r="B116" t="s">
        <v>431</v>
      </c>
      <c r="C116" t="s">
        <v>173</v>
      </c>
      <c r="D116">
        <f>IF('Quarterly Results'!F116="","",'Quarterly Results'!F116)</f>
      </c>
      <c r="E116">
        <f>IF('Quarterly Results'!N116="","",'Quarterly Results'!N116)</f>
      </c>
      <c r="F116">
        <f>IF('Quarterly Results'!X116="","",'Quarterly Results'!X116)</f>
      </c>
      <c r="G116">
        <f>IF('Quarterly Results'!AH116="","",'Quarterly Results'!AH116)</f>
      </c>
      <c r="H116">
        <f>IFERROR(AVERAGEIF(D116:G116,"&gt;=0"),"")</f>
      </c>
      <c r="I116">
        <f>IF(H116="","",IFERROR(INDEX({"Q1","Q2","Q3","Q4"},MATCH(MAX(D116:G116),D116:G116,0)),""))</f>
      </c>
      <c r="J116">
        <f>IF(H116="","",IFERROR(INDEX({"Q1","Q2","Q3","Q4"},MATCH(AGGREGATE(5,6,D116:G116),D116:G116,0)),""))</f>
      </c>
      <c r="K116">
        <f>IF(OR(D116="",E116=""),"",E116-D116)</f>
      </c>
      <c r="L116">
        <f>IF(H116="","",RANK(H116,$H$2:$H$118,0))</f>
      </c>
    </row>
    <row r="117" spans="1:12" x14ac:dyDescent="0.25">
      <c r="A117" s="2" t="s">
        <v>432</v>
      </c>
      <c r="B117" s="2" t="s">
        <v>432</v>
      </c>
      <c r="C117" s="2" t="s">
        <v>173</v>
      </c>
      <c r="D117" s="2">
        <f>IF('Quarterly Results'!F117="","",'Quarterly Results'!F117)</f>
      </c>
      <c r="E117" s="2">
        <f>IF('Quarterly Results'!N117="","",'Quarterly Results'!N117)</f>
      </c>
      <c r="F117" s="2">
        <f>IF('Quarterly Results'!X117="","",'Quarterly Results'!X117)</f>
      </c>
      <c r="G117" s="2">
        <f>IF('Quarterly Results'!AH117="","",'Quarterly Results'!AH117)</f>
      </c>
      <c r="H117" s="2">
        <f>IFERROR(AVERAGEIF(D117:G117,"&gt;=0"),"")</f>
      </c>
      <c r="I117" s="2">
        <f>IF(H117="","",IFERROR(INDEX({"Q1","Q2","Q3","Q4"},MATCH(MAX(D117:G117),D117:G117,0)),""))</f>
      </c>
      <c r="J117" s="2">
        <f>IF(H117="","",IFERROR(INDEX({"Q1","Q2","Q3","Q4"},MATCH(AGGREGATE(5,6,D117:G117),D117:G117,0)),""))</f>
      </c>
      <c r="K117" s="2">
        <f>IF(OR(D117="",E117=""),"",E117-D117)</f>
      </c>
      <c r="L117" s="2">
        <f>IF(H117="","",RANK(H117,$H$2:$H$118,0))</f>
      </c>
    </row>
    <row r="118" spans="1:12" x14ac:dyDescent="0.25">
      <c r="A118" t="s">
        <v>433</v>
      </c>
      <c r="B118" t="s">
        <v>434</v>
      </c>
      <c r="C118" t="s">
        <v>222</v>
      </c>
      <c r="D118">
        <f>IF('Quarterly Results'!F118="","",'Quarterly Results'!F118)</f>
      </c>
      <c r="E118">
        <f>IF('Quarterly Results'!N118="","",'Quarterly Results'!N118)</f>
      </c>
      <c r="F118">
        <f>IF('Quarterly Results'!X118="","",'Quarterly Results'!X118)</f>
      </c>
      <c r="G118">
        <f>IF('Quarterly Results'!AH118="","",'Quarterly Results'!AH118)</f>
      </c>
      <c r="H118">
        <f>IFERROR(AVERAGEIF(D118:G118,"&gt;=0"),"")</f>
      </c>
      <c r="I118">
        <f>IF(H118="","",IFERROR(INDEX({"Q1","Q2","Q3","Q4"},MATCH(MAX(D118:G118),D118:G118,0)),""))</f>
      </c>
      <c r="J118">
        <f>IF(H118="","",IFERROR(INDEX({"Q1","Q2","Q3","Q4"},MATCH(AGGREGATE(5,6,D118:G118),D118:G118,0)),""))</f>
      </c>
      <c r="K118">
        <f>IF(OR(D118="",E118=""),"",E118-D118)</f>
      </c>
      <c r="L118">
        <f>IF(H118="","",RANK(H118,$H$2:$H$118,0))</f>
      </c>
    </row>
  </sheetData>
  <autoFilter ref="A1:L118"/>
  <conditionalFormatting sqref="D2:D118">
    <cfRule type="cellIs" dxfId="20" priority="1" operator="greaterThanOrEqual">
      <formula>90</formula>
    </cfRule>
    <cfRule type="cellIs" dxfId="21" priority="2" operator="between">
      <formula>80</formula>
      <formula>89.999</formula>
    </cfRule>
    <cfRule type="cellIs" dxfId="22" priority="3" operator="between">
      <formula>70</formula>
      <formula>79.999</formula>
    </cfRule>
    <cfRule type="cellIs" dxfId="23" priority="4" operator="between">
      <formula>60</formula>
      <formula>69.999</formula>
    </cfRule>
    <cfRule type="cellIs" dxfId="24" priority="5" operator="lessThan">
      <formula>60</formula>
    </cfRule>
  </conditionalFormatting>
  <conditionalFormatting sqref="E2:E118">
    <cfRule type="cellIs" dxfId="25" priority="6" operator="greaterThanOrEqual">
      <formula>90</formula>
    </cfRule>
    <cfRule type="cellIs" dxfId="26" priority="7" operator="between">
      <formula>80</formula>
      <formula>89.999</formula>
    </cfRule>
    <cfRule type="cellIs" dxfId="27" priority="8" operator="between">
      <formula>70</formula>
      <formula>79.999</formula>
    </cfRule>
    <cfRule type="cellIs" dxfId="28" priority="9" operator="between">
      <formula>60</formula>
      <formula>69.999</formula>
    </cfRule>
    <cfRule type="cellIs" dxfId="29" priority="10" operator="lessThan">
      <formula>60</formula>
    </cfRule>
  </conditionalFormatting>
  <conditionalFormatting sqref="F2:F118">
    <cfRule type="cellIs" dxfId="30" priority="11" operator="greaterThanOrEqual">
      <formula>90</formula>
    </cfRule>
    <cfRule type="cellIs" dxfId="31" priority="12" operator="between">
      <formula>80</formula>
      <formula>89.999</formula>
    </cfRule>
    <cfRule type="cellIs" dxfId="32" priority="13" operator="between">
      <formula>70</formula>
      <formula>79.999</formula>
    </cfRule>
    <cfRule type="cellIs" dxfId="33" priority="14" operator="between">
      <formula>60</formula>
      <formula>69.999</formula>
    </cfRule>
    <cfRule type="cellIs" dxfId="34" priority="15" operator="lessThan">
      <formula>60</formula>
    </cfRule>
  </conditionalFormatting>
  <conditionalFormatting sqref="G2:G118">
    <cfRule type="cellIs" dxfId="35" priority="16" operator="greaterThanOrEqual">
      <formula>90</formula>
    </cfRule>
    <cfRule type="cellIs" dxfId="36" priority="17" operator="between">
      <formula>80</formula>
      <formula>89.999</formula>
    </cfRule>
    <cfRule type="cellIs" dxfId="37" priority="18" operator="between">
      <formula>70</formula>
      <formula>79.999</formula>
    </cfRule>
    <cfRule type="cellIs" dxfId="38" priority="19" operator="between">
      <formula>60</formula>
      <formula>69.999</formula>
    </cfRule>
    <cfRule type="cellIs" dxfId="39" priority="20" operator="lessThan">
      <formula>60</formula>
    </cfRule>
  </conditionalFormatting>
  <conditionalFormatting sqref="H2:H118">
    <cfRule type="cellIs" dxfId="40" priority="21" operator="greaterThanOrEqual">
      <formula>90</formula>
    </cfRule>
    <cfRule type="cellIs" dxfId="41" priority="22" operator="between">
      <formula>80</formula>
      <formula>89.999</formula>
    </cfRule>
    <cfRule type="cellIs" dxfId="42" priority="23" operator="between">
      <formula>70</formula>
      <formula>79.999</formula>
    </cfRule>
    <cfRule type="cellIs" dxfId="43" priority="24" operator="between">
      <formula>60</formula>
      <formula>69.999</formula>
    </cfRule>
    <cfRule type="cellIs" dxfId="44" priority="25" operator="lessThan">
      <formula>60</formula>
    </cfRule>
  </conditionalFormatting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18" customWidth="1"/>
    <col min="2" max="2" width="100" customWidth="1"/>
  </cols>
  <sheetData>
    <row r="1" spans="1:1" s="4" customFormat="1" x14ac:dyDescent="0.25">
      <c r="A1" s="4" t="s">
        <v>478</v>
      </c>
    </row>
    <row r="2" spans="1:1" x14ac:dyDescent="0.25">
      <c r="A2" t="s">
        <v>479</v>
      </c>
    </row>
    <row r="3" spans="1:2" x14ac:dyDescent="0.25">
      <c r="A3" t="s">
        <v>480</v>
      </c>
      <c r="B3" t="s">
        <v>481</v>
      </c>
    </row>
    <row r="4" spans="1:2" x14ac:dyDescent="0.25">
      <c r="A4" t="s">
        <v>482</v>
      </c>
      <c r="B4" t="s">
        <v>483</v>
      </c>
    </row>
    <row r="5" spans="1:2" x14ac:dyDescent="0.25">
      <c r="A5" t="s">
        <v>484</v>
      </c>
      <c r="B5" t="s">
        <v>485</v>
      </c>
    </row>
    <row r="6" spans="1:2" x14ac:dyDescent="0.25">
      <c r="A6" t="s">
        <v>486</v>
      </c>
      <c r="B6" t="s">
        <v>487</v>
      </c>
    </row>
    <row r="7" spans="1:2" x14ac:dyDescent="0.25">
      <c r="A7" t="s">
        <v>488</v>
      </c>
      <c r="B7" t="s">
        <v>489</v>
      </c>
    </row>
    <row r="8" spans="1:2" x14ac:dyDescent="0.25">
      <c r="A8" t="s">
        <v>490</v>
      </c>
      <c r="B8" t="s">
        <v>491</v>
      </c>
    </row>
    <row r="9" spans="1:2" x14ac:dyDescent="0.25">
      <c r="A9" t="s">
        <v>195</v>
      </c>
      <c r="B9" t="s">
        <v>492</v>
      </c>
    </row>
    <row r="10" spans="1:2" x14ac:dyDescent="0.25">
      <c r="A10" t="s">
        <v>493</v>
      </c>
      <c r="B10" t="s">
        <v>494</v>
      </c>
    </row>
    <row r="11" spans="1:2" x14ac:dyDescent="0.25">
      <c r="A11" t="s">
        <v>495</v>
      </c>
      <c r="B11" t="s">
        <v>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SRC Q1 2026 winners</vt:lpstr>
      <vt:lpstr>SRC Q2 Engineer Eval</vt:lpstr>
      <vt:lpstr>Engineers</vt:lpstr>
      <vt:lpstr>Quarterly Results</vt:lpstr>
      <vt:lpstr>Summary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SCORA TCS</dc:creator>
  <dc:title/>
  <dc:subject/>
  <dc:description/>
  <cp:keywords/>
  <cp:category/>
  <cp:lastModifiedBy>Unknown</cp:lastModifiedBy>
  <dcterms:created xsi:type="dcterms:W3CDTF">2026-07-30T04:03:16Z</dcterms:created>
  <dcterms:modified xsi:type="dcterms:W3CDTF">2026-07-30T04:03:16Z</dcterms:modified>
</cp:coreProperties>
</file>